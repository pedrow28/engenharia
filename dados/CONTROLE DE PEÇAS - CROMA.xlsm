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08" yWindow="-108" windowWidth="23256" windowHeight="12456" tabRatio="600" firstSheet="0" activeTab="1" autoFilterDateGrouping="1"/>
  </bookViews>
  <sheets>
    <sheet name="Vigas" sheetId="1" state="visible" r:id="rId1"/>
    <sheet name="Lajes" sheetId="2" state="visible" r:id="rId2"/>
    <sheet name="Pilares" sheetId="3" state="visible" r:id="rId3"/>
    <sheet name="Peças Canceladas" sheetId="4" state="visible" r:id="rId4"/>
  </sheets>
  <definedNames>
    <definedName name="_xleta.SUM" hidden="1" xlm="1">#NAME?</definedName>
    <definedName name="_xlnm._FilterDatabase" localSheetId="0" hidden="1">'Vigas'!$A$3:$S$524</definedName>
    <definedName name="_xlnm._FilterDatabase" localSheetId="1" hidden="1">'Lajes'!$A$3:$S$3</definedName>
    <definedName name="_xlnm._FilterDatabase" localSheetId="3" hidden="1">'Peças Canceladas'!$A$3:$S$3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000"/>
    <numFmt numFmtId="165" formatCode="#,##0.0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rgb="FF000000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72"/>
      <scheme val="minor"/>
    </font>
    <font>
      <name val="Calibri"/>
      <family val="2"/>
      <color theme="1"/>
      <sz val="11"/>
      <u val="single"/>
      <scheme val="minor"/>
    </font>
  </fonts>
  <fills count="13">
    <fill>
      <patternFill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FFFFB7"/>
        <bgColor indexed="64"/>
      </patternFill>
    </fill>
    <fill>
      <patternFill patternType="solid">
        <fgColor rgb="FFFCD7D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4">
    <xf numFmtId="0" fontId="0" fillId="0" borderId="0" pivotButton="0" quotePrefix="0" xfId="0"/>
    <xf numFmtId="0" fontId="1" fillId="0" borderId="3" applyAlignment="1" pivotButton="0" quotePrefix="0" xfId="0">
      <alignment horizontal="center" vertical="center" wrapText="1"/>
    </xf>
    <xf numFmtId="164" fontId="1" fillId="0" borderId="3" applyAlignment="1" pivotButton="0" quotePrefix="0" xfId="0">
      <alignment horizontal="center" vertical="center" wrapText="1"/>
    </xf>
    <xf numFmtId="2" fontId="1" fillId="0" borderId="3" applyAlignment="1" pivotButton="0" quotePrefix="0" xfId="0">
      <alignment horizontal="center" vertical="center" wrapText="1"/>
    </xf>
    <xf numFmtId="165" fontId="1" fillId="0" borderId="3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164" fontId="0" fillId="0" borderId="0" pivotButton="0" quotePrefix="0" xfId="0"/>
    <xf numFmtId="2" fontId="0" fillId="0" borderId="0" pivotButton="0" quotePrefix="0" xfId="0"/>
    <xf numFmtId="165" fontId="0" fillId="0" borderId="0" pivotButton="0" quotePrefix="0" xfId="0"/>
    <xf numFmtId="165" fontId="0" fillId="3" borderId="4" applyAlignment="1" pivotButton="0" quotePrefix="0" xfId="0">
      <alignment horizontal="center" vertical="center"/>
    </xf>
    <xf numFmtId="2" fontId="0" fillId="3" borderId="4" applyAlignment="1" pivotButton="0" quotePrefix="0" xfId="0">
      <alignment horizontal="center" vertical="center"/>
    </xf>
    <xf numFmtId="0" fontId="1" fillId="0" borderId="5" applyAlignment="1" pivotButton="0" quotePrefix="0" xfId="0">
      <alignment horizontal="center" vertical="center" wrapText="1"/>
    </xf>
    <xf numFmtId="0" fontId="2" fillId="2" borderId="0" applyAlignment="1" pivotButton="0" quotePrefix="0" xfId="0">
      <alignment horizontal="right" vertical="center" wrapText="1"/>
    </xf>
    <xf numFmtId="0" fontId="2" fillId="2" borderId="2" applyAlignment="1" pivotButton="0" quotePrefix="0" xfId="0">
      <alignment horizontal="left" vertical="center" wrapText="1"/>
    </xf>
    <xf numFmtId="0" fontId="2" fillId="2" borderId="1" applyAlignment="1" pivotButton="0" quotePrefix="0" xfId="0">
      <alignment horizontal="left" vertical="center"/>
    </xf>
    <xf numFmtId="0" fontId="2" fillId="2" borderId="0" applyAlignment="1" pivotButton="0" quotePrefix="0" xfId="0">
      <alignment horizontal="left" vertical="center"/>
    </xf>
    <xf numFmtId="0" fontId="0" fillId="4" borderId="4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3" fillId="5" borderId="4" applyAlignment="1" pivotButton="0" quotePrefix="0" xfId="0">
      <alignment horizontal="center" vertical="center"/>
    </xf>
    <xf numFmtId="0" fontId="0" fillId="5" borderId="4" applyAlignment="1" pivotButton="0" quotePrefix="0" xfId="0">
      <alignment horizontal="center" vertical="center"/>
    </xf>
    <xf numFmtId="2" fontId="0" fillId="5" borderId="4" applyAlignment="1" pivotButton="0" quotePrefix="0" xfId="0">
      <alignment horizontal="center" vertical="center"/>
    </xf>
    <xf numFmtId="0" fontId="0" fillId="6" borderId="4" applyAlignment="1" pivotButton="0" quotePrefix="0" xfId="0">
      <alignment horizontal="center" vertical="center" wrapText="1"/>
    </xf>
    <xf numFmtId="0" fontId="0" fillId="6" borderId="4" applyAlignment="1" pivotButton="0" quotePrefix="0" xfId="0">
      <alignment horizontal="center" vertical="center"/>
    </xf>
    <xf numFmtId="0" fontId="0" fillId="7" borderId="4" applyAlignment="1" pivotButton="0" quotePrefix="0" xfId="0">
      <alignment horizontal="center" vertical="center"/>
    </xf>
    <xf numFmtId="0" fontId="0" fillId="8" borderId="4" applyAlignment="1" pivotButton="0" quotePrefix="0" xfId="0">
      <alignment horizontal="center" vertical="center"/>
    </xf>
    <xf numFmtId="0" fontId="0" fillId="9" borderId="4" applyAlignment="1" pivotButton="0" quotePrefix="0" xfId="0">
      <alignment horizontal="center" vertical="center"/>
    </xf>
    <xf numFmtId="0" fontId="4" fillId="9" borderId="4" applyAlignment="1" pivotButton="0" quotePrefix="0" xfId="0">
      <alignment horizontal="center" vertical="center" wrapText="1"/>
    </xf>
    <xf numFmtId="0" fontId="0" fillId="9" borderId="4" applyAlignment="1" pivotButton="0" quotePrefix="0" xfId="0">
      <alignment horizontal="center" vertical="center" wrapText="1"/>
    </xf>
    <xf numFmtId="0" fontId="0" fillId="10" borderId="4" applyAlignment="1" pivotButton="0" quotePrefix="0" xfId="0">
      <alignment horizontal="center" vertical="center"/>
    </xf>
    <xf numFmtId="0" fontId="4" fillId="10" borderId="4" applyAlignment="1" pivotButton="0" quotePrefix="0" xfId="0">
      <alignment horizontal="center" vertical="center" wrapText="1"/>
    </xf>
    <xf numFmtId="0" fontId="0" fillId="10" borderId="4" applyAlignment="1" pivotButton="0" quotePrefix="0" xfId="0">
      <alignment horizontal="center" vertical="center" wrapText="1"/>
    </xf>
    <xf numFmtId="0" fontId="4" fillId="6" borderId="4" applyAlignment="1" pivotButton="0" quotePrefix="0" xfId="0">
      <alignment horizontal="center" vertical="center" wrapText="1"/>
    </xf>
    <xf numFmtId="0" fontId="0" fillId="0" borderId="4" applyAlignment="1" pivotButton="0" quotePrefix="0" xfId="0">
      <alignment horizontal="center" vertical="center"/>
    </xf>
    <xf numFmtId="0" fontId="4" fillId="5" borderId="4" applyAlignment="1" pivotButton="0" quotePrefix="0" xfId="0">
      <alignment horizontal="center" vertical="center" wrapText="1"/>
    </xf>
    <xf numFmtId="0" fontId="0" fillId="5" borderId="4" applyAlignment="1" pivotButton="0" quotePrefix="0" xfId="0">
      <alignment horizontal="center" vertical="center" wrapText="1"/>
    </xf>
    <xf numFmtId="2" fontId="0" fillId="7" borderId="4" applyAlignment="1" pivotButton="0" quotePrefix="0" xfId="0">
      <alignment horizontal="center" vertical="center"/>
    </xf>
    <xf numFmtId="0" fontId="3" fillId="10" borderId="4" applyAlignment="1" pivotButton="0" quotePrefix="0" xfId="0">
      <alignment horizontal="center" vertical="center"/>
    </xf>
    <xf numFmtId="0" fontId="3" fillId="4" borderId="4" applyAlignment="1" pivotButton="0" quotePrefix="0" xfId="0">
      <alignment horizontal="center" vertical="center"/>
    </xf>
    <xf numFmtId="2" fontId="0" fillId="10" borderId="4" applyAlignment="1" pivotButton="0" quotePrefix="0" xfId="0">
      <alignment horizontal="center" vertical="center"/>
    </xf>
    <xf numFmtId="2" fontId="0" fillId="4" borderId="4" applyAlignment="1" pivotButton="0" quotePrefix="0" xfId="0">
      <alignment horizontal="center" vertical="center"/>
    </xf>
    <xf numFmtId="0" fontId="3" fillId="9" borderId="4" applyAlignment="1" pivotButton="0" quotePrefix="0" xfId="0">
      <alignment horizontal="center" vertical="center"/>
    </xf>
    <xf numFmtId="2" fontId="0" fillId="9" borderId="4" applyAlignment="1" pivotButton="0" quotePrefix="0" xfId="0">
      <alignment horizontal="center" vertical="center"/>
    </xf>
    <xf numFmtId="0" fontId="3" fillId="6" borderId="4" applyAlignment="1" pivotButton="0" quotePrefix="0" xfId="0">
      <alignment horizontal="center" vertical="center"/>
    </xf>
    <xf numFmtId="2" fontId="0" fillId="6" borderId="4" applyAlignment="1" pivotButton="0" quotePrefix="0" xfId="0">
      <alignment horizontal="center" vertical="center"/>
    </xf>
    <xf numFmtId="2" fontId="0" fillId="8" borderId="4" applyAlignment="1" pivotButton="0" quotePrefix="0" xfId="0">
      <alignment horizontal="center" vertical="center"/>
    </xf>
    <xf numFmtId="0" fontId="0" fillId="11" borderId="4" applyAlignment="1" pivotButton="0" quotePrefix="0" xfId="0">
      <alignment horizontal="center" vertical="center"/>
    </xf>
    <xf numFmtId="2" fontId="0" fillId="11" borderId="4" applyAlignment="1" pivotButton="0" quotePrefix="0" xfId="0">
      <alignment horizontal="center" vertical="center"/>
    </xf>
    <xf numFmtId="0" fontId="0" fillId="12" borderId="4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 wrapText="1"/>
    </xf>
    <xf numFmtId="0" fontId="0" fillId="0" borderId="4" applyAlignment="1" pivotButton="0" quotePrefix="0" xfId="0">
      <alignment horizontal="center" vertical="center" wrapText="1"/>
    </xf>
    <xf numFmtId="0" fontId="3" fillId="0" borderId="4" applyAlignment="1" pivotButton="0" quotePrefix="0" xfId="0">
      <alignment horizontal="center" vertical="center"/>
    </xf>
    <xf numFmtId="2" fontId="0" fillId="0" borderId="4" applyAlignment="1" pivotButton="0" quotePrefix="0" xfId="0">
      <alignment horizontal="center" vertical="center"/>
    </xf>
    <xf numFmtId="165" fontId="0" fillId="0" borderId="4" applyAlignment="1" pivotButton="0" quotePrefix="0" xfId="0">
      <alignment horizontal="center" vertical="center"/>
    </xf>
    <xf numFmtId="0" fontId="0" fillId="0" borderId="6" pivotButton="0" quotePrefix="0" xfId="0"/>
    <xf numFmtId="0" fontId="0" fillId="0" borderId="4" pivotButton="0" quotePrefix="0" xfId="0"/>
    <xf numFmtId="0" fontId="6" fillId="8" borderId="4" applyAlignment="1" pivotButton="0" quotePrefix="0" xfId="0">
      <alignment horizontal="center" vertical="center"/>
    </xf>
    <xf numFmtId="2" fontId="6" fillId="8" borderId="4" applyAlignment="1" pivotButton="0" quotePrefix="0" xfId="0">
      <alignment horizontal="center" vertical="center"/>
    </xf>
    <xf numFmtId="165" fontId="6" fillId="3" borderId="4" applyAlignment="1" pivotButton="0" quotePrefix="0" xfId="0">
      <alignment horizontal="center" vertical="center"/>
    </xf>
    <xf numFmtId="2" fontId="6" fillId="3" borderId="4" applyAlignment="1" pivotButton="0" quotePrefix="0" xfId="0">
      <alignment horizontal="center" vertical="center"/>
    </xf>
    <xf numFmtId="0" fontId="5" fillId="0" borderId="4" applyAlignment="1" pivotButton="0" quotePrefix="0" xfId="0">
      <alignment horizontal="center" vertical="center"/>
    </xf>
    <xf numFmtId="0" fontId="0" fillId="0" borderId="6" pivotButton="0" quotePrefix="0" xfId="0"/>
    <xf numFmtId="0" fontId="0" fillId="0" borderId="7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A525"/>
  <sheetViews>
    <sheetView topLeftCell="C1" zoomScale="70" zoomScaleNormal="70" workbookViewId="0">
      <pane ySplit="3" topLeftCell="A17" activePane="bottomLeft" state="frozen"/>
      <selection activeCell="H4" sqref="H4"/>
      <selection pane="bottomLeft" activeCell="C4" sqref="C4:L24"/>
    </sheetView>
  </sheetViews>
  <sheetFormatPr baseColWidth="8" defaultRowHeight="15" customHeight="1"/>
  <cols>
    <col width="13.6640625" customWidth="1" min="1" max="1"/>
    <col width="87.109375" customWidth="1" min="2" max="2"/>
    <col width="90.44140625" customWidth="1" min="3" max="3"/>
    <col width="13.6640625" customWidth="1" min="4" max="5"/>
    <col width="21.33203125" bestFit="1" customWidth="1" min="6" max="6"/>
    <col width="19.5546875" bestFit="1" customWidth="1" style="7" min="7" max="7"/>
    <col width="19.5546875" customWidth="1" style="7" min="8" max="8"/>
    <col width="17.33203125" customWidth="1" min="9" max="9"/>
    <col width="13.6640625" customWidth="1" min="10" max="10"/>
    <col width="13.6640625" customWidth="1" style="8" min="11" max="11"/>
    <col width="17.88671875" customWidth="1" style="8" min="12" max="13"/>
    <col width="13.6640625" customWidth="1" style="9" min="14" max="14"/>
    <col width="15.6640625" customWidth="1" style="9" min="15" max="15"/>
    <col width="19.88671875" customWidth="1" style="9" min="16" max="16"/>
    <col width="15.6640625" customWidth="1" style="9" min="17" max="17"/>
    <col width="16.5546875" customWidth="1" min="18" max="18"/>
    <col width="15" customWidth="1" min="19" max="19"/>
  </cols>
  <sheetData>
    <row r="1" ht="30" customHeight="1">
      <c r="A1" s="15" t="inlineStr">
        <is>
          <t>CONTROLE DE PEÇAS</t>
        </is>
      </c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6" t="n"/>
      <c r="L1" s="16" t="n"/>
      <c r="M1" s="16" t="n"/>
      <c r="N1" s="16" t="n"/>
      <c r="O1" s="16" t="n"/>
      <c r="P1" s="16" t="n"/>
      <c r="Q1" s="16" t="n"/>
      <c r="R1" s="16" t="n"/>
      <c r="S1" s="16" t="n"/>
      <c r="AA1" s="6" t="n"/>
    </row>
    <row r="2" ht="30" customHeight="1" thickBot="1">
      <c r="A2" s="13" t="inlineStr">
        <is>
          <t>OBRA:</t>
        </is>
      </c>
      <c r="B2" s="14" t="inlineStr">
        <is>
          <t>CROMA</t>
        </is>
      </c>
      <c r="C2" s="14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14" t="n"/>
      <c r="P2" s="14" t="n"/>
      <c r="Q2" s="14" t="n"/>
      <c r="R2" s="14" t="n"/>
      <c r="S2" s="14" t="n"/>
      <c r="AA2" s="6" t="n"/>
    </row>
    <row r="3" ht="60" customFormat="1" customHeight="1" s="5">
      <c r="A3" s="12" t="inlineStr">
        <is>
          <t>TIPO DE PEÇA</t>
        </is>
      </c>
      <c r="B3" s="1" t="inlineStr">
        <is>
          <t>TÍTULO DA PEÇA</t>
        </is>
      </c>
      <c r="C3" s="1" t="inlineStr">
        <is>
          <t>NOME DESENHO</t>
        </is>
      </c>
      <c r="D3" s="1" t="inlineStr">
        <is>
          <t>QUANTIDADE</t>
        </is>
      </c>
      <c r="E3" s="1" t="inlineStr">
        <is>
          <t>SEÇÃO</t>
        </is>
      </c>
      <c r="F3" s="1" t="inlineStr">
        <is>
          <t>COMPRIMENTO (cm)</t>
        </is>
      </c>
      <c r="G3" s="2" t="inlineStr">
        <is>
          <t>VOLUME DE CONCRETO (m³)</t>
        </is>
      </c>
      <c r="H3" s="2" t="inlineStr">
        <is>
          <t>VOLUME DE CONCRETO TOTAL(m³)</t>
        </is>
      </c>
      <c r="I3" s="1" t="inlineStr">
        <is>
          <t>fck (Mpa)</t>
        </is>
      </c>
      <c r="J3" s="1" t="inlineStr">
        <is>
          <t>fcj (Mpa)</t>
        </is>
      </c>
      <c r="K3" s="3" t="inlineStr">
        <is>
          <t>PESO AÇO FROUXO (kg)</t>
        </is>
      </c>
      <c r="L3" s="3" t="inlineStr">
        <is>
          <t>PESO AÇO PROTENDIDO (kg)</t>
        </is>
      </c>
      <c r="M3" s="3" t="inlineStr">
        <is>
          <t>PESO AÇO CONSOLO (kg)</t>
        </is>
      </c>
      <c r="N3" s="4" t="inlineStr">
        <is>
          <t>PESO TOTAL UNITÁRIO (kg)</t>
        </is>
      </c>
      <c r="O3" s="4" t="inlineStr">
        <is>
          <t>TAXA AÇO FROUXO (kg/m³)</t>
        </is>
      </c>
      <c r="P3" s="4" t="inlineStr">
        <is>
          <t>TAXA AÇO PROTENDIDO (kg/m³)</t>
        </is>
      </c>
      <c r="Q3" s="4" t="inlineStr">
        <is>
          <t>PESO TOTAL (t)</t>
        </is>
      </c>
      <c r="R3" s="3" t="inlineStr">
        <is>
          <t>PESO TOTAL AÇO FROUXO (t)</t>
        </is>
      </c>
      <c r="S3" s="3" t="inlineStr">
        <is>
          <t>PESO TOTAL AÇO PROTENDIDO (t)</t>
        </is>
      </c>
      <c r="AA3" s="6" t="n"/>
    </row>
    <row r="4" ht="50.1" customFormat="1" customHeight="1" s="6">
      <c r="A4" s="34" t="inlineStr">
        <is>
          <t>VIGA</t>
        </is>
      </c>
      <c r="B4" s="50" t="inlineStr">
        <is>
          <t>VR204=VR305=VR405=VR506</t>
        </is>
      </c>
      <c r="C4" s="51" t="inlineStr">
        <is>
          <t>VR204=VR305=VR405=VR506-20x50x143-FORMA E ARMAÇÃO-R00</t>
        </is>
      </c>
      <c r="D4" s="34" t="n">
        <v>4</v>
      </c>
      <c r="E4" s="52" t="inlineStr">
        <is>
          <t>20x50</t>
        </is>
      </c>
      <c r="F4" s="52" t="n">
        <v>143</v>
      </c>
      <c r="G4" s="34" t="n">
        <v>0.124</v>
      </c>
      <c r="H4" s="34">
        <f>G4*D4</f>
        <v/>
      </c>
      <c r="I4" s="34" t="n">
        <v>45</v>
      </c>
      <c r="J4" s="34" t="n">
        <v>27</v>
      </c>
      <c r="K4" s="53" t="n">
        <v>15.33</v>
      </c>
      <c r="L4" s="53" t="n">
        <v>0.44</v>
      </c>
      <c r="M4" s="53" t="n"/>
      <c r="N4" s="10">
        <f>G4*2400+K4+L4+M4</f>
        <v/>
      </c>
      <c r="O4" s="10">
        <f>(K4+M4)/G4</f>
        <v/>
      </c>
      <c r="P4" s="10">
        <f>L4/G4</f>
        <v/>
      </c>
      <c r="Q4" s="10">
        <f>N4*D4/1000</f>
        <v/>
      </c>
      <c r="R4" s="11">
        <f>K4*D4/1000</f>
        <v/>
      </c>
      <c r="S4" s="11">
        <f>L4*D4/1000</f>
        <v/>
      </c>
    </row>
    <row r="5" ht="50.1" customFormat="1" customHeight="1" s="6">
      <c r="A5" s="17" t="inlineStr">
        <is>
          <t>VIGA</t>
        </is>
      </c>
      <c r="B5" s="18" t="inlineStr">
        <is>
          <t>VTA104</t>
        </is>
      </c>
      <c r="C5" s="19" t="inlineStr">
        <is>
          <t>VTA104-30x56x697-FORMA E ARMAÇÃO-R00</t>
        </is>
      </c>
      <c r="D5" s="17" t="n">
        <v>1</v>
      </c>
      <c r="E5" s="39" t="inlineStr">
        <is>
          <t>30x56</t>
        </is>
      </c>
      <c r="F5" s="39" t="n">
        <v>697</v>
      </c>
      <c r="G5" s="17" t="n">
        <v>1.451</v>
      </c>
      <c r="H5" s="17">
        <f>G5*D5</f>
        <v/>
      </c>
      <c r="I5" s="17" t="n">
        <v>45</v>
      </c>
      <c r="J5" s="17" t="n">
        <v>27</v>
      </c>
      <c r="K5" s="41" t="n">
        <v>128.07</v>
      </c>
      <c r="L5" s="41" t="n">
        <v>28.27</v>
      </c>
      <c r="M5" s="41" t="n"/>
      <c r="N5" s="10">
        <f>G5*2400+K5+L5+M5</f>
        <v/>
      </c>
      <c r="O5" s="10">
        <f>(K5+M5)/G5</f>
        <v/>
      </c>
      <c r="P5" s="10">
        <f>L5/G5</f>
        <v/>
      </c>
      <c r="Q5" s="10">
        <f>N5*D5/1000</f>
        <v/>
      </c>
      <c r="R5" s="11">
        <f>K5*D5/1000</f>
        <v/>
      </c>
      <c r="S5" s="11">
        <f>L5*D5/1000</f>
        <v/>
      </c>
    </row>
    <row r="6" ht="50.1" customFormat="1" customHeight="1" s="6">
      <c r="A6" s="17" t="inlineStr">
        <is>
          <t>VIGA</t>
        </is>
      </c>
      <c r="B6" s="18" t="inlineStr">
        <is>
          <t>VTA105</t>
        </is>
      </c>
      <c r="C6" s="19" t="inlineStr">
        <is>
          <t>VTA105-30x56x889-FORMA E ARMAÇÃO-R00</t>
        </is>
      </c>
      <c r="D6" s="17" t="n">
        <v>1</v>
      </c>
      <c r="E6" s="39" t="inlineStr">
        <is>
          <t>30x56</t>
        </is>
      </c>
      <c r="F6" s="39" t="n">
        <v>889</v>
      </c>
      <c r="G6" s="17" t="n">
        <v>1.846</v>
      </c>
      <c r="H6" s="17">
        <f>G6*D6</f>
        <v/>
      </c>
      <c r="I6" s="17" t="n">
        <v>45</v>
      </c>
      <c r="J6" s="17" t="n">
        <v>27</v>
      </c>
      <c r="K6" s="41" t="n">
        <v>220.11</v>
      </c>
      <c r="L6" s="41" t="n">
        <v>54.78</v>
      </c>
      <c r="M6" s="41" t="n"/>
      <c r="N6" s="10">
        <f>G6*2400+K6+L6+M6</f>
        <v/>
      </c>
      <c r="O6" s="10">
        <f>(K6+M6)/G6</f>
        <v/>
      </c>
      <c r="P6" s="10">
        <f>L6/G6</f>
        <v/>
      </c>
      <c r="Q6" s="10">
        <f>N6*D6/1000</f>
        <v/>
      </c>
      <c r="R6" s="11">
        <f>K6*D6/1000</f>
        <v/>
      </c>
      <c r="S6" s="11">
        <f>L6*D6/1000</f>
        <v/>
      </c>
    </row>
    <row r="7" ht="50.1" customFormat="1" customHeight="1" s="6">
      <c r="A7" s="17" t="inlineStr">
        <is>
          <t>VIGA</t>
        </is>
      </c>
      <c r="B7" s="18" t="inlineStr">
        <is>
          <t>VTA106</t>
        </is>
      </c>
      <c r="C7" s="19" t="inlineStr">
        <is>
          <t>VTA106-30x56x296-FORMA E ARMAÇÃO-R00</t>
        </is>
      </c>
      <c r="D7" s="17" t="n">
        <v>1</v>
      </c>
      <c r="E7" s="39" t="inlineStr">
        <is>
          <t>30x56</t>
        </is>
      </c>
      <c r="F7" s="39" t="n">
        <v>296</v>
      </c>
      <c r="G7" s="17" t="n">
        <v>0.612</v>
      </c>
      <c r="H7" s="17">
        <f>G7*D7</f>
        <v/>
      </c>
      <c r="I7" s="17" t="n">
        <v>45</v>
      </c>
      <c r="J7" s="17" t="n">
        <v>20</v>
      </c>
      <c r="K7" s="41" t="n">
        <v>114.05</v>
      </c>
      <c r="L7" s="41" t="n">
        <v>2.93</v>
      </c>
      <c r="M7" s="41" t="n"/>
      <c r="N7" s="10">
        <f>G7*2400+K7+L7+M7</f>
        <v/>
      </c>
      <c r="O7" s="10">
        <f>(K7+M7)/G7</f>
        <v/>
      </c>
      <c r="P7" s="10">
        <f>L7/G7</f>
        <v/>
      </c>
      <c r="Q7" s="10">
        <f>N7*D7/1000</f>
        <v/>
      </c>
      <c r="R7" s="11">
        <f>K7*D7/1000</f>
        <v/>
      </c>
      <c r="S7" s="11">
        <f>L7*D7/1000</f>
        <v/>
      </c>
    </row>
    <row r="8" ht="50.1" customFormat="1" customHeight="1" s="6">
      <c r="A8" s="17" t="inlineStr">
        <is>
          <t>VIGA</t>
        </is>
      </c>
      <c r="B8" s="18" t="inlineStr">
        <is>
          <t>VTA107</t>
        </is>
      </c>
      <c r="C8" s="19" t="inlineStr">
        <is>
          <t>VTA107-30x56x477-FORMA E ARMAÇÃO-R00</t>
        </is>
      </c>
      <c r="D8" s="17" t="n">
        <v>1</v>
      </c>
      <c r="E8" s="39" t="inlineStr">
        <is>
          <t>30x56</t>
        </is>
      </c>
      <c r="F8" s="39" t="n">
        <v>477</v>
      </c>
      <c r="G8" s="17" t="n">
        <v>0.979</v>
      </c>
      <c r="H8" s="17">
        <f>G8*D8</f>
        <v/>
      </c>
      <c r="I8" s="17" t="n">
        <v>45</v>
      </c>
      <c r="J8" s="17" t="n">
        <v>20</v>
      </c>
      <c r="K8" s="41" t="n">
        <v>176.93</v>
      </c>
      <c r="L8" s="41" t="n">
        <v>2.93</v>
      </c>
      <c r="M8" s="41" t="n"/>
      <c r="N8" s="10">
        <f>G8*2400+K8+L8+M8</f>
        <v/>
      </c>
      <c r="O8" s="10">
        <f>(K8+M8)/G8</f>
        <v/>
      </c>
      <c r="P8" s="10">
        <f>L8/G8</f>
        <v/>
      </c>
      <c r="Q8" s="10">
        <f>N8*D8/1000</f>
        <v/>
      </c>
      <c r="R8" s="11">
        <f>K8*D8/1000</f>
        <v/>
      </c>
      <c r="S8" s="11">
        <f>L8*D8/1000</f>
        <v/>
      </c>
    </row>
    <row r="9" ht="50.1" customFormat="1" customHeight="1" s="6">
      <c r="A9" s="17" t="inlineStr">
        <is>
          <t>VIGA</t>
        </is>
      </c>
      <c r="B9" s="18" t="inlineStr">
        <is>
          <t>VTA108</t>
        </is>
      </c>
      <c r="C9" s="19" t="inlineStr">
        <is>
          <t>VTA108-30x56x894-FORMA E ARMAÇÃO-R00</t>
        </is>
      </c>
      <c r="D9" s="17" t="n">
        <v>1</v>
      </c>
      <c r="E9" s="39" t="inlineStr">
        <is>
          <t>30x56</t>
        </is>
      </c>
      <c r="F9" s="39" t="n">
        <v>894</v>
      </c>
      <c r="G9" s="17" t="n">
        <v>1.854</v>
      </c>
      <c r="H9" s="17">
        <f>G9*D9</f>
        <v/>
      </c>
      <c r="I9" s="17" t="n">
        <v>45</v>
      </c>
      <c r="J9" s="17" t="n">
        <v>27</v>
      </c>
      <c r="K9" s="41" t="n">
        <v>232.36</v>
      </c>
      <c r="L9" s="41" t="n">
        <v>55.06</v>
      </c>
      <c r="M9" s="41" t="n"/>
      <c r="N9" s="10">
        <f>G9*2400+K9+L9+M9</f>
        <v/>
      </c>
      <c r="O9" s="10">
        <f>(K9+M9)/G9</f>
        <v/>
      </c>
      <c r="P9" s="10">
        <f>L9/G9</f>
        <v/>
      </c>
      <c r="Q9" s="10">
        <f>N9*D9/1000</f>
        <v/>
      </c>
      <c r="R9" s="11">
        <f>K9*D9/1000</f>
        <v/>
      </c>
      <c r="S9" s="11">
        <f>L9*D9/1000</f>
        <v/>
      </c>
    </row>
    <row r="10" ht="50.1" customFormat="1" customHeight="1" s="6">
      <c r="A10" s="17" t="inlineStr">
        <is>
          <t>VIGA</t>
        </is>
      </c>
      <c r="B10" s="18" t="inlineStr">
        <is>
          <t>VTA201 = VTA301 = VTA401</t>
        </is>
      </c>
      <c r="C10" s="19" t="inlineStr">
        <is>
          <t>VTA201=VTA301=VTA401-30x56x357-FORMA E ARMAÇÃO-R02</t>
        </is>
      </c>
      <c r="D10" s="17" t="n">
        <v>3</v>
      </c>
      <c r="E10" s="39" t="inlineStr">
        <is>
          <t>30x56</t>
        </is>
      </c>
      <c r="F10" s="39" t="n">
        <v>357</v>
      </c>
      <c r="G10" s="17" t="n">
        <v>0.673</v>
      </c>
      <c r="H10" s="17">
        <f>G10*D10</f>
        <v/>
      </c>
      <c r="I10" s="17" t="n">
        <v>45</v>
      </c>
      <c r="J10" s="17" t="n">
        <v>20</v>
      </c>
      <c r="K10" s="41" t="n">
        <v>153.04</v>
      </c>
      <c r="L10" s="41" t="n">
        <v>2.93</v>
      </c>
      <c r="M10" s="41" t="n"/>
      <c r="N10" s="10">
        <f>G10*2400+K10+L10+M10</f>
        <v/>
      </c>
      <c r="O10" s="10">
        <f>(K10+M10)/G10</f>
        <v/>
      </c>
      <c r="P10" s="10">
        <f>L10/G10</f>
        <v/>
      </c>
      <c r="Q10" s="10">
        <f>N10*D10/1000</f>
        <v/>
      </c>
      <c r="R10" s="11">
        <f>K10*D10/1000</f>
        <v/>
      </c>
      <c r="S10" s="11">
        <f>L10*D10/1000</f>
        <v/>
      </c>
    </row>
    <row r="11" ht="50.1" customFormat="1" customHeight="1" s="6">
      <c r="A11" s="17" t="inlineStr">
        <is>
          <t>VIGA</t>
        </is>
      </c>
      <c r="B11" s="18" t="inlineStr">
        <is>
          <t>VTA202=VTA303=VTA403</t>
        </is>
      </c>
      <c r="C11" s="19" t="inlineStr">
        <is>
          <t>VTA202=VTA303=VTA403-30x56x697-FORMA E ARMAÇÃO-R00</t>
        </is>
      </c>
      <c r="D11" s="17" t="n">
        <v>3</v>
      </c>
      <c r="E11" s="39" t="inlineStr">
        <is>
          <t>30x56</t>
        </is>
      </c>
      <c r="F11" s="39" t="n">
        <v>697</v>
      </c>
      <c r="G11" s="17" t="n">
        <v>1.404</v>
      </c>
      <c r="H11" s="17">
        <f>G11*D11</f>
        <v/>
      </c>
      <c r="I11" s="17" t="n">
        <v>45</v>
      </c>
      <c r="J11" s="17" t="n">
        <v>27</v>
      </c>
      <c r="K11" s="41" t="n">
        <v>162.48</v>
      </c>
      <c r="L11" s="41" t="n">
        <v>28.27</v>
      </c>
      <c r="M11" s="41" t="n"/>
      <c r="N11" s="10">
        <f>G11*2400+K11+L11+M11</f>
        <v/>
      </c>
      <c r="O11" s="10">
        <f>(K11+M11)/G11</f>
        <v/>
      </c>
      <c r="P11" s="10">
        <f>L11/G11</f>
        <v/>
      </c>
      <c r="Q11" s="10">
        <f>N11*D11/1000</f>
        <v/>
      </c>
      <c r="R11" s="11">
        <f>K11*D11/1000</f>
        <v/>
      </c>
      <c r="S11" s="11">
        <f>L11*D11/1000</f>
        <v/>
      </c>
    </row>
    <row r="12" ht="50.1" customFormat="1" customHeight="1" s="6">
      <c r="A12" s="17" t="inlineStr">
        <is>
          <t>VIGA</t>
        </is>
      </c>
      <c r="B12" s="18" t="inlineStr">
        <is>
          <t>VTA202A=VTA303A=VTA403A</t>
        </is>
      </c>
      <c r="C12" s="19" t="inlineStr">
        <is>
          <t>VTA202A=VTA303A=VTA403A-30x56x707-FORMA E ARMAÇÃO-R00</t>
        </is>
      </c>
      <c r="D12" s="17" t="n">
        <v>3</v>
      </c>
      <c r="E12" s="39" t="inlineStr">
        <is>
          <t>30x56</t>
        </is>
      </c>
      <c r="F12" s="39" t="n">
        <v>707</v>
      </c>
      <c r="G12" s="17" t="n">
        <v>1.424</v>
      </c>
      <c r="H12" s="17">
        <f>G12*D12</f>
        <v/>
      </c>
      <c r="I12" s="17" t="n">
        <v>45</v>
      </c>
      <c r="J12" s="17" t="n">
        <v>27</v>
      </c>
      <c r="K12" s="41" t="n">
        <v>164.62</v>
      </c>
      <c r="L12" s="41" t="n">
        <v>28.61</v>
      </c>
      <c r="M12" s="41" t="n"/>
      <c r="N12" s="10">
        <f>G12*2400+K12+L12+M12</f>
        <v/>
      </c>
      <c r="O12" s="10">
        <f>(K12+M12)/G12</f>
        <v/>
      </c>
      <c r="P12" s="10">
        <f>L12/G12</f>
        <v/>
      </c>
      <c r="Q12" s="10">
        <f>N12*D12/1000</f>
        <v/>
      </c>
      <c r="R12" s="11">
        <f>K12*D12/1000</f>
        <v/>
      </c>
      <c r="S12" s="11">
        <f>L12*D12/1000</f>
        <v/>
      </c>
    </row>
    <row r="13" ht="50.1" customFormat="1" customHeight="1" s="6">
      <c r="A13" s="17" t="inlineStr">
        <is>
          <t>VIGA</t>
        </is>
      </c>
      <c r="B13" s="18" t="inlineStr">
        <is>
          <t>VTA204=VTA325=VTA404</t>
        </is>
      </c>
      <c r="C13" s="19" t="inlineStr">
        <is>
          <t>VTA204=VTA325=VTA404-30x56x707-FORMA E ARMAÇÃO-R01</t>
        </is>
      </c>
      <c r="D13" s="17" t="n">
        <v>3</v>
      </c>
      <c r="E13" s="39" t="inlineStr">
        <is>
          <t>30x56</t>
        </is>
      </c>
      <c r="F13" s="39" t="n">
        <v>707</v>
      </c>
      <c r="G13" s="17" t="n">
        <v>1.407</v>
      </c>
      <c r="H13" s="17">
        <f>G13*D13</f>
        <v/>
      </c>
      <c r="I13" s="17" t="n">
        <v>45</v>
      </c>
      <c r="J13" s="17" t="n">
        <v>27</v>
      </c>
      <c r="K13" s="41" t="n">
        <v>207.51</v>
      </c>
      <c r="L13" s="41" t="n">
        <v>36.57</v>
      </c>
      <c r="M13" s="41" t="n"/>
      <c r="N13" s="10">
        <f>G13*2400+K13+L13+M13</f>
        <v/>
      </c>
      <c r="O13" s="10">
        <f>(K13+M13)/G13</f>
        <v/>
      </c>
      <c r="P13" s="10">
        <f>L13/G13</f>
        <v/>
      </c>
      <c r="Q13" s="10">
        <f>N13*D13/1000</f>
        <v/>
      </c>
      <c r="R13" s="11">
        <f>K13*D13/1000</f>
        <v/>
      </c>
      <c r="S13" s="11">
        <f>L13*D13/1000</f>
        <v/>
      </c>
    </row>
    <row r="14" ht="50.1" customFormat="1" customHeight="1" s="6">
      <c r="A14" s="17" t="inlineStr">
        <is>
          <t>VIGA</t>
        </is>
      </c>
      <c r="B14" s="18" t="inlineStr">
        <is>
          <t>VTA205 = VTA305 = VTA405</t>
        </is>
      </c>
      <c r="C14" s="19" t="inlineStr">
        <is>
          <t>VTA205=VTA305=VTA405-30x56x765.5-FORMA E ARMAÇÃO-R01</t>
        </is>
      </c>
      <c r="D14" s="17" t="n">
        <v>3</v>
      </c>
      <c r="E14" s="39" t="inlineStr">
        <is>
          <t>30x56</t>
        </is>
      </c>
      <c r="F14" s="39" t="n">
        <v>765.5</v>
      </c>
      <c r="G14" s="17" t="n">
        <v>1.529</v>
      </c>
      <c r="H14" s="17">
        <f>G14*D14</f>
        <v/>
      </c>
      <c r="I14" s="17" t="n">
        <v>45</v>
      </c>
      <c r="J14" s="17" t="n">
        <v>27</v>
      </c>
      <c r="K14" s="41" t="n">
        <v>218.45</v>
      </c>
      <c r="L14" s="41" t="n">
        <v>39.23</v>
      </c>
      <c r="M14" s="41" t="n"/>
      <c r="N14" s="10">
        <f>G14*2400+K14+L14+M14</f>
        <v/>
      </c>
      <c r="O14" s="10">
        <f>(K14+M14)/G14</f>
        <v/>
      </c>
      <c r="P14" s="10">
        <f>L14/G14</f>
        <v/>
      </c>
      <c r="Q14" s="10">
        <f>N14*D14/1000</f>
        <v/>
      </c>
      <c r="R14" s="11">
        <f>K14*D14/1000</f>
        <v/>
      </c>
      <c r="S14" s="11">
        <f>L14*D14/1000</f>
        <v/>
      </c>
    </row>
    <row r="15" ht="50.1" customFormat="1" customHeight="1" s="6">
      <c r="A15" s="17" t="inlineStr">
        <is>
          <t>VIGA</t>
        </is>
      </c>
      <c r="B15" s="18" t="inlineStr">
        <is>
          <t>VTA206 = VTA306 = VTA406</t>
        </is>
      </c>
      <c r="C15" s="19" t="inlineStr">
        <is>
          <t>VTA206=VTA306=VTA406-30x56x760.5-FORMA E ARMAÇÃO-R01</t>
        </is>
      </c>
      <c r="D15" s="17" t="n">
        <v>3</v>
      </c>
      <c r="E15" s="39" t="inlineStr">
        <is>
          <t>30x56</t>
        </is>
      </c>
      <c r="F15" s="39" t="n">
        <v>760.5</v>
      </c>
      <c r="G15" s="17" t="n">
        <v>1.519</v>
      </c>
      <c r="H15" s="17">
        <f>G15*D15</f>
        <v/>
      </c>
      <c r="I15" s="17" t="n">
        <v>45</v>
      </c>
      <c r="J15" s="17" t="n">
        <v>27</v>
      </c>
      <c r="K15" s="41" t="n">
        <v>218.02</v>
      </c>
      <c r="L15" s="41" t="n">
        <v>39</v>
      </c>
      <c r="M15" s="41" t="n"/>
      <c r="N15" s="10">
        <f>G15*2400+K15+L15+M15</f>
        <v/>
      </c>
      <c r="O15" s="10">
        <f>(K15+M15)/G15</f>
        <v/>
      </c>
      <c r="P15" s="10">
        <f>L15/G15</f>
        <v/>
      </c>
      <c r="Q15" s="10">
        <f>N15*D15/1000</f>
        <v/>
      </c>
      <c r="R15" s="11">
        <f>K15*D15/1000</f>
        <v/>
      </c>
      <c r="S15" s="11">
        <f>L15*D15/1000</f>
        <v/>
      </c>
    </row>
    <row r="16" ht="50.1" customFormat="1" customHeight="1" s="6">
      <c r="A16" s="17" t="inlineStr">
        <is>
          <t>VIGA</t>
        </is>
      </c>
      <c r="B16" s="18" t="inlineStr">
        <is>
          <t>VTA207 = VTA411</t>
        </is>
      </c>
      <c r="C16" s="19" t="inlineStr">
        <is>
          <t>VTA207=VTA411-30x56x697-FORMA E ARMAÇÃO-R00</t>
        </is>
      </c>
      <c r="D16" s="17" t="n">
        <v>2</v>
      </c>
      <c r="E16" s="39" t="inlineStr">
        <is>
          <t>30x56</t>
        </is>
      </c>
      <c r="F16" s="39" t="n">
        <v>697</v>
      </c>
      <c r="G16" s="17" t="n">
        <v>1.382</v>
      </c>
      <c r="H16" s="17">
        <f>G16*D16</f>
        <v/>
      </c>
      <c r="I16" s="17" t="n">
        <v>45</v>
      </c>
      <c r="J16" s="17" t="n">
        <v>27</v>
      </c>
      <c r="K16" s="41" t="n">
        <v>218.23</v>
      </c>
      <c r="L16" s="41" t="n">
        <v>36.12</v>
      </c>
      <c r="M16" s="41" t="n"/>
      <c r="N16" s="10">
        <f>G16*2400+K16+L16+M16</f>
        <v/>
      </c>
      <c r="O16" s="10">
        <f>(K16+M16)/G16</f>
        <v/>
      </c>
      <c r="P16" s="10">
        <f>L16/G16</f>
        <v/>
      </c>
      <c r="Q16" s="10">
        <f>N16*D16/1000</f>
        <v/>
      </c>
      <c r="R16" s="11">
        <f>K16*D16/1000</f>
        <v/>
      </c>
      <c r="S16" s="11">
        <f>L16*D16/1000</f>
        <v/>
      </c>
    </row>
    <row r="17" ht="50.1" customFormat="1" customHeight="1" s="6">
      <c r="A17" s="17" t="inlineStr">
        <is>
          <t>VIGA</t>
        </is>
      </c>
      <c r="B17" s="18" t="inlineStr">
        <is>
          <t>VTA209 = VTA314 = VTA409</t>
        </is>
      </c>
      <c r="C17" s="19" t="inlineStr">
        <is>
          <t>VTA209=VTA314=VTA409-30x56x746.5-FORMA E ARMAÇÃO-R02</t>
        </is>
      </c>
      <c r="D17" s="17" t="n">
        <v>3</v>
      </c>
      <c r="E17" s="39" t="inlineStr">
        <is>
          <t>30x56</t>
        </is>
      </c>
      <c r="F17" s="39" t="n">
        <v>746.5</v>
      </c>
      <c r="G17" s="17" t="n">
        <v>1.49</v>
      </c>
      <c r="H17" s="17">
        <f>G17*D17</f>
        <v/>
      </c>
      <c r="I17" s="17" t="n">
        <v>45</v>
      </c>
      <c r="J17" s="17" t="n">
        <v>27</v>
      </c>
      <c r="K17" s="41" t="n">
        <v>215.62</v>
      </c>
      <c r="L17" s="41" t="n">
        <v>38.37</v>
      </c>
      <c r="M17" s="41" t="n"/>
      <c r="N17" s="10">
        <f>G17*2400+K17+L17+M17</f>
        <v/>
      </c>
      <c r="O17" s="10">
        <f>(K17+M17)/G17</f>
        <v/>
      </c>
      <c r="P17" s="10">
        <f>L17/G17</f>
        <v/>
      </c>
      <c r="Q17" s="10">
        <f>N17*D17/1000</f>
        <v/>
      </c>
      <c r="R17" s="11">
        <f>K17*D17/1000</f>
        <v/>
      </c>
      <c r="S17" s="11">
        <f>L17*D17/1000</f>
        <v/>
      </c>
    </row>
    <row r="18" ht="50.1" customFormat="1" customHeight="1" s="6">
      <c r="A18" s="17" t="inlineStr">
        <is>
          <t>VIGA</t>
        </is>
      </c>
      <c r="B18" s="18" t="inlineStr">
        <is>
          <t>VTA210 = VTA326 = VTA410</t>
        </is>
      </c>
      <c r="C18" s="19" t="inlineStr">
        <is>
          <t>VTA210=VTA326=VTA410-30x56x697-FORMA E ARMAÇÃO-R01</t>
        </is>
      </c>
      <c r="D18" s="17" t="n">
        <v>3</v>
      </c>
      <c r="E18" s="39" t="inlineStr">
        <is>
          <t>30x56</t>
        </is>
      </c>
      <c r="F18" s="39" t="n">
        <v>697</v>
      </c>
      <c r="G18" s="17" t="n">
        <v>1.386</v>
      </c>
      <c r="H18" s="17">
        <f>G18*D18</f>
        <v/>
      </c>
      <c r="I18" s="17" t="n">
        <v>45</v>
      </c>
      <c r="J18" s="17" t="n">
        <v>27</v>
      </c>
      <c r="K18" s="41" t="n">
        <v>206.63</v>
      </c>
      <c r="L18" s="41" t="n">
        <v>36.12</v>
      </c>
      <c r="M18" s="41" t="n"/>
      <c r="N18" s="10">
        <f>G18*2400+K18+L18+M18</f>
        <v/>
      </c>
      <c r="O18" s="10">
        <f>(K18+M18)/G18</f>
        <v/>
      </c>
      <c r="P18" s="10">
        <f>L18/G18</f>
        <v/>
      </c>
      <c r="Q18" s="10">
        <f>N18*D18/1000</f>
        <v/>
      </c>
      <c r="R18" s="11">
        <f>K18*D18/1000</f>
        <v/>
      </c>
      <c r="S18" s="11">
        <f>L18*D18/1000</f>
        <v/>
      </c>
    </row>
    <row r="19" ht="50.1" customFormat="1" customHeight="1" s="6">
      <c r="A19" s="17" t="inlineStr">
        <is>
          <t>VIGA</t>
        </is>
      </c>
      <c r="B19" s="18" t="inlineStr">
        <is>
          <t>VTA215</t>
        </is>
      </c>
      <c r="C19" s="19" t="inlineStr">
        <is>
          <t>VTA215-30x56x357-FORMA E ARMAÇÃO-R01</t>
        </is>
      </c>
      <c r="D19" s="17" t="n">
        <v>1</v>
      </c>
      <c r="E19" s="39" t="inlineStr">
        <is>
          <t>30x56</t>
        </is>
      </c>
      <c r="F19" s="39" t="n">
        <v>357</v>
      </c>
      <c r="G19" s="17" t="n">
        <v>0.669</v>
      </c>
      <c r="H19" s="17">
        <f>G19*D19</f>
        <v/>
      </c>
      <c r="I19" s="17" t="n">
        <v>45</v>
      </c>
      <c r="J19" s="17" t="n">
        <v>20</v>
      </c>
      <c r="K19" s="41" t="n">
        <v>160.08</v>
      </c>
      <c r="L19" s="41" t="n">
        <v>2.93</v>
      </c>
      <c r="M19" s="41" t="n"/>
      <c r="N19" s="10">
        <f>G19*2400+K19+L19+M19</f>
        <v/>
      </c>
      <c r="O19" s="10">
        <f>(K19+M19)/G19</f>
        <v/>
      </c>
      <c r="P19" s="10">
        <f>L19/G19</f>
        <v/>
      </c>
      <c r="Q19" s="10">
        <f>N19*D19/1000</f>
        <v/>
      </c>
      <c r="R19" s="11">
        <f>K19*D19/1000</f>
        <v/>
      </c>
      <c r="S19" s="11">
        <f>L19*D19/1000</f>
        <v/>
      </c>
    </row>
    <row r="20" ht="50.1" customFormat="1" customHeight="1" s="6">
      <c r="A20" s="17" t="inlineStr">
        <is>
          <t>VIGA</t>
        </is>
      </c>
      <c r="B20" s="18" t="inlineStr">
        <is>
          <t>VTA216 = VTA318 = VTA412</t>
        </is>
      </c>
      <c r="C20" s="19" t="inlineStr">
        <is>
          <t>VTA216=VTA318=VTA412-30x56x889-FORMA E ARMAÇÃO-R01</t>
        </is>
      </c>
      <c r="D20" s="17" t="n">
        <v>3</v>
      </c>
      <c r="E20" s="39" t="inlineStr">
        <is>
          <t>30x56</t>
        </is>
      </c>
      <c r="F20" s="39" t="n">
        <v>889</v>
      </c>
      <c r="G20" s="17" t="n">
        <v>1.783</v>
      </c>
      <c r="H20" s="17">
        <f>G20*D20</f>
        <v/>
      </c>
      <c r="I20" s="17" t="n">
        <v>45</v>
      </c>
      <c r="J20" s="17" t="n">
        <v>27</v>
      </c>
      <c r="K20" s="41" t="n">
        <v>279.72</v>
      </c>
      <c r="L20" s="41" t="n">
        <v>54.78</v>
      </c>
      <c r="M20" s="41" t="n"/>
      <c r="N20" s="10">
        <f>G20*2400+K20+L20+M20</f>
        <v/>
      </c>
      <c r="O20" s="10">
        <f>(K20+M20)/G20</f>
        <v/>
      </c>
      <c r="P20" s="10">
        <f>L20/G20</f>
        <v/>
      </c>
      <c r="Q20" s="10">
        <f>N20*D20/1000</f>
        <v/>
      </c>
      <c r="R20" s="11">
        <f>K20*D20/1000</f>
        <v/>
      </c>
      <c r="S20" s="11">
        <f>L20*D20/1000</f>
        <v/>
      </c>
    </row>
    <row r="21" ht="50.1" customFormat="1" customHeight="1" s="6">
      <c r="A21" s="17" t="inlineStr">
        <is>
          <t>VIGA</t>
        </is>
      </c>
      <c r="B21" s="18" t="inlineStr">
        <is>
          <t>VTA217 =VTA319=VTA413=VTA515</t>
        </is>
      </c>
      <c r="C21" s="19" t="inlineStr">
        <is>
          <t>VTA217=VTA319=VTA413=VTA515-30x56x296-FORMA E ARMAÇÃO-R01</t>
        </is>
      </c>
      <c r="D21" s="17" t="n">
        <v>4</v>
      </c>
      <c r="E21" s="39" t="inlineStr">
        <is>
          <t>30x56</t>
        </is>
      </c>
      <c r="F21" s="39" t="n">
        <v>296</v>
      </c>
      <c r="G21" s="17" t="n">
        <v>0.541</v>
      </c>
      <c r="H21" s="17">
        <f>G21*D21</f>
        <v/>
      </c>
      <c r="I21" s="17" t="n">
        <v>45</v>
      </c>
      <c r="J21" s="17" t="n">
        <v>20</v>
      </c>
      <c r="K21" s="41" t="n">
        <v>167.04</v>
      </c>
      <c r="L21" s="41" t="n">
        <v>2.93</v>
      </c>
      <c r="M21" s="41" t="n"/>
      <c r="N21" s="10">
        <f>G21*2400+K21+L21+M21</f>
        <v/>
      </c>
      <c r="O21" s="10">
        <f>(K21+M21)/G21</f>
        <v/>
      </c>
      <c r="P21" s="10">
        <f>L21/G21</f>
        <v/>
      </c>
      <c r="Q21" s="10">
        <f>N21*D21/1000</f>
        <v/>
      </c>
      <c r="R21" s="11">
        <f>K21*D21/1000</f>
        <v/>
      </c>
      <c r="S21" s="11">
        <f>L21*D21/1000</f>
        <v/>
      </c>
    </row>
    <row r="22" ht="50.1" customFormat="1" customHeight="1" s="6">
      <c r="A22" s="17" t="inlineStr">
        <is>
          <t>VIGA</t>
        </is>
      </c>
      <c r="B22" s="18" t="inlineStr">
        <is>
          <t>VTA220=VTA322=VTA416=VTA518</t>
        </is>
      </c>
      <c r="C22" s="19" t="inlineStr">
        <is>
          <t>VTA220=VTA322=VTA416=VTA518-30x56x477-FORMA E ARMAÇÃO-R00</t>
        </is>
      </c>
      <c r="D22" s="17" t="n">
        <v>4</v>
      </c>
      <c r="E22" s="39" t="inlineStr">
        <is>
          <t>30x56</t>
        </is>
      </c>
      <c r="F22" s="39" t="n">
        <v>477</v>
      </c>
      <c r="G22" s="17" t="n">
        <v>0.916</v>
      </c>
      <c r="H22" s="17">
        <f>G22*D22</f>
        <v/>
      </c>
      <c r="I22" s="17" t="n">
        <v>45</v>
      </c>
      <c r="J22" s="17" t="n">
        <v>20</v>
      </c>
      <c r="K22" s="41" t="n">
        <v>231.69</v>
      </c>
      <c r="L22" s="41" t="n">
        <v>2.93</v>
      </c>
      <c r="M22" s="41" t="n"/>
      <c r="N22" s="10">
        <f>G22*2400+K22+L22+M22</f>
        <v/>
      </c>
      <c r="O22" s="10">
        <f>(K22+M22)/G22</f>
        <v/>
      </c>
      <c r="P22" s="10">
        <f>L22/G22</f>
        <v/>
      </c>
      <c r="Q22" s="10">
        <f>N22*D22/1000</f>
        <v/>
      </c>
      <c r="R22" s="11">
        <f>K22*D22/1000</f>
        <v/>
      </c>
      <c r="S22" s="11">
        <f>L22*D22/1000</f>
        <v/>
      </c>
    </row>
    <row r="23" ht="50.1" customFormat="1" customHeight="1" s="6">
      <c r="A23" s="17" t="inlineStr">
        <is>
          <t>VIGA</t>
        </is>
      </c>
      <c r="B23" s="18" t="inlineStr">
        <is>
          <t>VTA221 = VTA323 = VTA417</t>
        </is>
      </c>
      <c r="C23" s="19" t="inlineStr">
        <is>
          <t>VTA221=VTA323=VTA417-30x56x894-FORMA E ARMAÇÃO-R00</t>
        </is>
      </c>
      <c r="D23" s="17" t="n">
        <v>3</v>
      </c>
      <c r="E23" s="39" t="inlineStr">
        <is>
          <t>30x56</t>
        </is>
      </c>
      <c r="F23" s="39" t="n">
        <v>894</v>
      </c>
      <c r="G23" s="17" t="n">
        <v>1.79</v>
      </c>
      <c r="H23" s="17">
        <f>G23*D23</f>
        <v/>
      </c>
      <c r="I23" s="17" t="n">
        <v>45</v>
      </c>
      <c r="J23" s="17" t="n">
        <v>27</v>
      </c>
      <c r="K23" s="41" t="n">
        <v>292.79</v>
      </c>
      <c r="L23" s="41" t="n">
        <v>55.06</v>
      </c>
      <c r="M23" s="41" t="n"/>
      <c r="N23" s="10">
        <f>G23*2400+K23+L23+M23</f>
        <v/>
      </c>
      <c r="O23" s="10">
        <f>(K23+M23)/G23</f>
        <v/>
      </c>
      <c r="P23" s="10">
        <f>L23/G23</f>
        <v/>
      </c>
      <c r="Q23" s="10">
        <f>N23*D23/1000</f>
        <v/>
      </c>
      <c r="R23" s="11">
        <f>K23*D23/1000</f>
        <v/>
      </c>
      <c r="S23" s="11">
        <f>L23*D23/1000</f>
        <v/>
      </c>
    </row>
    <row r="24" ht="50.1" customFormat="1" customHeight="1" s="6">
      <c r="A24" s="17" t="inlineStr">
        <is>
          <t>VIGA</t>
        </is>
      </c>
      <c r="B24" s="18" t="inlineStr">
        <is>
          <t>VTA312</t>
        </is>
      </c>
      <c r="C24" s="19" t="inlineStr">
        <is>
          <t>VTA312-30x56x357-FORMA E ARMAÇÃO-R01</t>
        </is>
      </c>
      <c r="D24" s="17" t="n">
        <v>1</v>
      </c>
      <c r="E24" s="39" t="inlineStr">
        <is>
          <t>30x56</t>
        </is>
      </c>
      <c r="F24" s="39" t="n">
        <v>357</v>
      </c>
      <c r="G24" s="17" t="n">
        <v>0.66</v>
      </c>
      <c r="H24" s="17">
        <f>G24*D24</f>
        <v/>
      </c>
      <c r="I24" s="17" t="n">
        <v>45</v>
      </c>
      <c r="J24" s="17" t="n">
        <v>20</v>
      </c>
      <c r="K24" s="41" t="n">
        <v>156.5</v>
      </c>
      <c r="L24" s="41" t="n">
        <v>2.93</v>
      </c>
      <c r="M24" s="41" t="n"/>
      <c r="N24" s="10">
        <f>G24*2400+K24+L24+M24</f>
        <v/>
      </c>
      <c r="O24" s="10">
        <f>(K24+M24)/G24</f>
        <v/>
      </c>
      <c r="P24" s="10">
        <f>L24/G24</f>
        <v/>
      </c>
      <c r="Q24" s="10">
        <f>N24*D24/1000</f>
        <v/>
      </c>
      <c r="R24" s="11">
        <f>K24*D24/1000</f>
        <v/>
      </c>
      <c r="S24" s="11">
        <f>L24*D24/1000</f>
        <v/>
      </c>
    </row>
    <row r="25" ht="50.1" customFormat="1" customHeight="1" s="6">
      <c r="A25" s="17" t="inlineStr">
        <is>
          <t>VIGA</t>
        </is>
      </c>
      <c r="B25" s="18" t="inlineStr">
        <is>
          <t>VLA101</t>
        </is>
      </c>
      <c r="C25" s="19" t="inlineStr">
        <is>
          <t>VLA101-30x62x1238.5-FORMA E ARMAÇÃO-R00</t>
        </is>
      </c>
      <c r="D25" s="17" t="n">
        <v>1</v>
      </c>
      <c r="E25" s="39" t="inlineStr">
        <is>
          <t>30x62</t>
        </is>
      </c>
      <c r="F25" s="39" t="n">
        <v>1238.5</v>
      </c>
      <c r="G25" s="17" t="n">
        <v>2.538</v>
      </c>
      <c r="H25" s="17">
        <f>G25*D25</f>
        <v/>
      </c>
      <c r="I25" s="17" t="n">
        <v>45</v>
      </c>
      <c r="J25" s="17" t="n">
        <v>27</v>
      </c>
      <c r="K25" s="41" t="n">
        <v>238.35</v>
      </c>
      <c r="L25" s="41" t="n">
        <v>90.23999999999999</v>
      </c>
      <c r="M25" s="41" t="n"/>
      <c r="N25" s="10">
        <f>G25*2400+K25+L25+M25</f>
        <v/>
      </c>
      <c r="O25" s="10">
        <f>(K25+M25)/G25</f>
        <v/>
      </c>
      <c r="P25" s="10">
        <f>L25/G25</f>
        <v/>
      </c>
      <c r="Q25" s="10">
        <f>N25*D25/1000</f>
        <v/>
      </c>
      <c r="R25" s="11">
        <f>K25*D25/1000</f>
        <v/>
      </c>
      <c r="S25" s="11">
        <f>L25*D25/1000</f>
        <v/>
      </c>
    </row>
    <row r="26" ht="50.1" customFormat="1" customHeight="1" s="6">
      <c r="A26" s="17" t="inlineStr">
        <is>
          <t>VIGA</t>
        </is>
      </c>
      <c r="B26" s="18" t="inlineStr">
        <is>
          <t>VLA102=VLA108</t>
        </is>
      </c>
      <c r="C26" s="19" t="inlineStr">
        <is>
          <t>VLA102=VLA108-30x56x728-FORMA E ARMAÇÃO-R00</t>
        </is>
      </c>
      <c r="D26" s="17" t="n">
        <v>2</v>
      </c>
      <c r="E26" s="39" t="inlineStr">
        <is>
          <t>30x56</t>
        </is>
      </c>
      <c r="F26" s="39" t="n">
        <v>728</v>
      </c>
      <c r="G26" s="17" t="n">
        <v>1.345</v>
      </c>
      <c r="H26" s="17">
        <f>G26*D26</f>
        <v/>
      </c>
      <c r="I26" s="17" t="n">
        <v>45</v>
      </c>
      <c r="J26" s="17" t="n">
        <v>20</v>
      </c>
      <c r="K26" s="41" t="n">
        <v>216.32</v>
      </c>
      <c r="L26" s="41" t="n">
        <v>4.73</v>
      </c>
      <c r="M26" s="41" t="n"/>
      <c r="N26" s="10">
        <f>G26*2400+K26+L26+M26</f>
        <v/>
      </c>
      <c r="O26" s="10">
        <f>(K26+M26)/G26</f>
        <v/>
      </c>
      <c r="P26" s="10">
        <f>L26/G26</f>
        <v/>
      </c>
      <c r="Q26" s="10">
        <f>N26*D26/1000</f>
        <v/>
      </c>
      <c r="R26" s="11">
        <f>K26*D26/1000</f>
        <v/>
      </c>
      <c r="S26" s="11">
        <f>L26*D26/1000</f>
        <v/>
      </c>
    </row>
    <row r="27" ht="50.1" customFormat="1" customHeight="1" s="6">
      <c r="A27" s="17" t="inlineStr">
        <is>
          <t>VIGA</t>
        </is>
      </c>
      <c r="B27" s="18" t="inlineStr">
        <is>
          <t>VLA104</t>
        </is>
      </c>
      <c r="C27" s="19" t="inlineStr">
        <is>
          <t>VLA104-30x56x694-FORMA E ARMAÇÃO-R00</t>
        </is>
      </c>
      <c r="D27" s="17" t="n">
        <v>1</v>
      </c>
      <c r="E27" s="39" t="inlineStr">
        <is>
          <t>30x56</t>
        </is>
      </c>
      <c r="F27" s="39" t="n">
        <v>694</v>
      </c>
      <c r="G27" s="17" t="n">
        <v>1.278</v>
      </c>
      <c r="H27" s="17">
        <f>G27*D27</f>
        <v/>
      </c>
      <c r="I27" s="17" t="n">
        <v>45</v>
      </c>
      <c r="J27" s="17" t="n">
        <v>20</v>
      </c>
      <c r="K27" s="41" t="n">
        <v>209</v>
      </c>
      <c r="L27" s="41" t="n">
        <v>4.73</v>
      </c>
      <c r="M27" s="41" t="n"/>
      <c r="N27" s="10">
        <f>G27*2400+K27+L27+M27</f>
        <v/>
      </c>
      <c r="O27" s="10">
        <f>(K27+M27)/G27</f>
        <v/>
      </c>
      <c r="P27" s="10">
        <f>L27/G27</f>
        <v/>
      </c>
      <c r="Q27" s="10">
        <f>N27*D27/1000</f>
        <v/>
      </c>
      <c r="R27" s="11">
        <f>K27*D27/1000</f>
        <v/>
      </c>
      <c r="S27" s="11">
        <f>L27*D27/1000</f>
        <v/>
      </c>
    </row>
    <row r="28" ht="50.1" customFormat="1" customHeight="1" s="6">
      <c r="A28" s="17" t="inlineStr">
        <is>
          <t>VIGA</t>
        </is>
      </c>
      <c r="B28" s="18" t="inlineStr">
        <is>
          <t>VLA105</t>
        </is>
      </c>
      <c r="C28" s="19" t="inlineStr">
        <is>
          <t>VLA105-30x56x597-FORMA E ARMAÇÃO-R00</t>
        </is>
      </c>
      <c r="D28" s="17" t="n">
        <v>1</v>
      </c>
      <c r="E28" s="39" t="inlineStr">
        <is>
          <t>30x56</t>
        </is>
      </c>
      <c r="F28" s="39" t="n">
        <v>597</v>
      </c>
      <c r="G28" s="17" t="n">
        <v>1.097</v>
      </c>
      <c r="H28" s="17">
        <f>G28*D28</f>
        <v/>
      </c>
      <c r="I28" s="17" t="n">
        <v>45</v>
      </c>
      <c r="J28" s="17" t="n">
        <v>20</v>
      </c>
      <c r="K28" s="41" t="n">
        <v>183.65</v>
      </c>
      <c r="L28" s="41" t="n">
        <v>4.73</v>
      </c>
      <c r="M28" s="41" t="n"/>
      <c r="N28" s="10">
        <f>G28*2400+K28+L28+M28</f>
        <v/>
      </c>
      <c r="O28" s="10">
        <f>(K28+M28)/G28</f>
        <v/>
      </c>
      <c r="P28" s="10">
        <f>L28/G28</f>
        <v/>
      </c>
      <c r="Q28" s="10">
        <f>N28*D28/1000</f>
        <v/>
      </c>
      <c r="R28" s="11">
        <f>K28*D28/1000</f>
        <v/>
      </c>
      <c r="S28" s="11">
        <f>L28*D28/1000</f>
        <v/>
      </c>
    </row>
    <row r="29" ht="50.1" customFormat="1" customHeight="1" s="6">
      <c r="A29" s="17" t="inlineStr">
        <is>
          <t>VIGA</t>
        </is>
      </c>
      <c r="B29" s="18" t="inlineStr">
        <is>
          <t>VLA112 = VLA113</t>
        </is>
      </c>
      <c r="C29" s="19" t="inlineStr">
        <is>
          <t>VLA112=VLA113-30x70x727-FORMA E ARMAÇÃO-R00</t>
        </is>
      </c>
      <c r="D29" s="17" t="n">
        <v>2</v>
      </c>
      <c r="E29" s="39" t="inlineStr">
        <is>
          <t>30x70</t>
        </is>
      </c>
      <c r="F29" s="39" t="n">
        <v>727</v>
      </c>
      <c r="G29" s="17" t="n">
        <v>1.663</v>
      </c>
      <c r="H29" s="17">
        <f>G29*D29</f>
        <v/>
      </c>
      <c r="I29" s="17" t="n">
        <v>45</v>
      </c>
      <c r="J29" s="17" t="n">
        <v>27</v>
      </c>
      <c r="K29" s="41" t="n">
        <v>150.65</v>
      </c>
      <c r="L29" s="41" t="n">
        <v>37.47</v>
      </c>
      <c r="M29" s="41" t="n"/>
      <c r="N29" s="10">
        <f>G29*2400+K29+L29+M29</f>
        <v/>
      </c>
      <c r="O29" s="10">
        <f>(K29+M29)/G29</f>
        <v/>
      </c>
      <c r="P29" s="10">
        <f>L29/G29</f>
        <v/>
      </c>
      <c r="Q29" s="10">
        <f>N29*D29/1000</f>
        <v/>
      </c>
      <c r="R29" s="11">
        <f>K29*D29/1000</f>
        <v/>
      </c>
      <c r="S29" s="11">
        <f>L29*D29/1000</f>
        <v/>
      </c>
    </row>
    <row r="30" ht="50.1" customFormat="1" customHeight="1" s="6">
      <c r="A30" s="17" t="inlineStr">
        <is>
          <t>VIGA</t>
        </is>
      </c>
      <c r="B30" s="18" t="inlineStr">
        <is>
          <t>VLA114</t>
        </is>
      </c>
      <c r="C30" s="19" t="inlineStr">
        <is>
          <t>VLA114-30x70x467-FORMA E ARMAÇÃO-R00</t>
        </is>
      </c>
      <c r="D30" s="17" t="n">
        <v>1</v>
      </c>
      <c r="E30" s="39" t="inlineStr">
        <is>
          <t>30x70</t>
        </is>
      </c>
      <c r="F30" s="39" t="n">
        <v>467</v>
      </c>
      <c r="G30" s="17" t="n">
        <v>1.065</v>
      </c>
      <c r="H30" s="17">
        <f>G30*D30</f>
        <v/>
      </c>
      <c r="I30" s="17" t="n">
        <v>45</v>
      </c>
      <c r="J30" s="17" t="n">
        <v>20</v>
      </c>
      <c r="K30" s="41" t="n">
        <v>137.14</v>
      </c>
      <c r="L30" s="41" t="n">
        <v>2.85</v>
      </c>
      <c r="M30" s="41" t="n"/>
      <c r="N30" s="10">
        <f>G30*2400+K30+L30+M30</f>
        <v/>
      </c>
      <c r="O30" s="10">
        <f>(K30+M30)/G30</f>
        <v/>
      </c>
      <c r="P30" s="10">
        <f>L30/G30</f>
        <v/>
      </c>
      <c r="Q30" s="10">
        <f>N30*D30/1000</f>
        <v/>
      </c>
      <c r="R30" s="11">
        <f>K30*D30/1000</f>
        <v/>
      </c>
      <c r="S30" s="11">
        <f>L30*D30/1000</f>
        <v/>
      </c>
    </row>
    <row r="31" ht="50.1" customFormat="1" customHeight="1" s="6">
      <c r="A31" s="17" t="inlineStr">
        <is>
          <t>VIGA</t>
        </is>
      </c>
      <c r="B31" s="18" t="inlineStr">
        <is>
          <t>VLA115</t>
        </is>
      </c>
      <c r="C31" s="19" t="inlineStr">
        <is>
          <t>VLA115-30x70x904.5-FORMA E ARMAÇÃO-R00</t>
        </is>
      </c>
      <c r="D31" s="17" t="n">
        <v>1</v>
      </c>
      <c r="E31" s="39" t="inlineStr">
        <is>
          <t>30x70</t>
        </is>
      </c>
      <c r="F31" s="39" t="n">
        <v>904.5</v>
      </c>
      <c r="G31" s="17" t="n">
        <v>2.071</v>
      </c>
      <c r="H31" s="17">
        <f>G31*D31</f>
        <v/>
      </c>
      <c r="I31" s="17" t="n">
        <v>45</v>
      </c>
      <c r="J31" s="17" t="n">
        <v>27</v>
      </c>
      <c r="K31" s="41" t="n">
        <v>184.84</v>
      </c>
      <c r="L31" s="41" t="n">
        <v>45.49</v>
      </c>
      <c r="M31" s="41" t="n"/>
      <c r="N31" s="10">
        <f>G31*2400+K31+L31+M31</f>
        <v/>
      </c>
      <c r="O31" s="10">
        <f>(K31+M31)/G31</f>
        <v/>
      </c>
      <c r="P31" s="10">
        <f>L31/G31</f>
        <v/>
      </c>
      <c r="Q31" s="10">
        <f>N31*D31/1000</f>
        <v/>
      </c>
      <c r="R31" s="11">
        <f>K31*D31/1000</f>
        <v/>
      </c>
      <c r="S31" s="11">
        <f>L31*D31/1000</f>
        <v/>
      </c>
    </row>
    <row r="32" ht="50.1" customFormat="1" customHeight="1" s="6">
      <c r="A32" s="17" t="inlineStr">
        <is>
          <t>VIGA</t>
        </is>
      </c>
      <c r="B32" s="18" t="inlineStr">
        <is>
          <t>VLA116</t>
        </is>
      </c>
      <c r="C32" s="19" t="inlineStr">
        <is>
          <t>VLA116-30x70x597-FORMA E ARMAÇÃO-R00</t>
        </is>
      </c>
      <c r="D32" s="17" t="n">
        <v>1</v>
      </c>
      <c r="E32" s="39" t="inlineStr">
        <is>
          <t>30x70</t>
        </is>
      </c>
      <c r="F32" s="39" t="n">
        <v>597</v>
      </c>
      <c r="G32" s="17" t="n">
        <v>1.365</v>
      </c>
      <c r="H32" s="17">
        <f>G32*D32</f>
        <v/>
      </c>
      <c r="I32" s="17" t="n">
        <v>45</v>
      </c>
      <c r="J32" s="17" t="n">
        <v>27</v>
      </c>
      <c r="K32" s="41" t="n">
        <v>125.59</v>
      </c>
      <c r="L32" s="41" t="n">
        <v>31.62</v>
      </c>
      <c r="M32" s="41" t="n"/>
      <c r="N32" s="10">
        <f>G32*2400+K32+L32+M32</f>
        <v/>
      </c>
      <c r="O32" s="10">
        <f>(K32+M32)/G32</f>
        <v/>
      </c>
      <c r="P32" s="10">
        <f>L32/G32</f>
        <v/>
      </c>
      <c r="Q32" s="10">
        <f>N32*D32/1000</f>
        <v/>
      </c>
      <c r="R32" s="11">
        <f>K32*D32/1000</f>
        <v/>
      </c>
      <c r="S32" s="11">
        <f>L32*D32/1000</f>
        <v/>
      </c>
    </row>
    <row r="33" ht="50.1" customFormat="1" customHeight="1" s="6">
      <c r="A33" s="17" t="inlineStr">
        <is>
          <t>VIGA</t>
        </is>
      </c>
      <c r="B33" s="18" t="inlineStr">
        <is>
          <t>VLA202=VLA302=VLA402</t>
        </is>
      </c>
      <c r="C33" s="19" t="inlineStr">
        <is>
          <t>VLA202=VLA302=VLA402-30x56x717-FORMA E ARMAÇÃO-R01</t>
        </is>
      </c>
      <c r="D33" s="17" t="n">
        <v>3</v>
      </c>
      <c r="E33" s="39" t="inlineStr">
        <is>
          <t>30x56</t>
        </is>
      </c>
      <c r="F33" s="39" t="n">
        <v>717</v>
      </c>
      <c r="G33" s="17" t="n">
        <v>1.267</v>
      </c>
      <c r="H33" s="17">
        <f>G33*D33</f>
        <v/>
      </c>
      <c r="I33" s="17" t="n">
        <v>45</v>
      </c>
      <c r="J33" s="17" t="n">
        <v>20</v>
      </c>
      <c r="K33" s="41" t="n">
        <v>242.22</v>
      </c>
      <c r="L33" s="41" t="n">
        <v>4.73</v>
      </c>
      <c r="M33" s="41" t="n"/>
      <c r="N33" s="10">
        <f>G33*2400+K33+L33+M33</f>
        <v/>
      </c>
      <c r="O33" s="10">
        <f>(K33+M33)/G33</f>
        <v/>
      </c>
      <c r="P33" s="10">
        <f>L33/G33</f>
        <v/>
      </c>
      <c r="Q33" s="10">
        <f>N33*D33/1000</f>
        <v/>
      </c>
      <c r="R33" s="11">
        <f>K33*D33/1000</f>
        <v/>
      </c>
      <c r="S33" s="11">
        <f>L33*D33/1000</f>
        <v/>
      </c>
    </row>
    <row r="34" ht="50.1" customFormat="1" customHeight="1" s="6">
      <c r="A34" s="17" t="inlineStr">
        <is>
          <t>VIGA</t>
        </is>
      </c>
      <c r="B34" s="18" t="inlineStr">
        <is>
          <t>VLA203=VLA316=VLA415</t>
        </is>
      </c>
      <c r="C34" s="19" t="inlineStr">
        <is>
          <t>VLA203=VLA316=VLA415-30x62x1238.5-FORMA E ARMAÇÃO-R00</t>
        </is>
      </c>
      <c r="D34" s="17" t="n">
        <v>3</v>
      </c>
      <c r="E34" s="39" t="inlineStr">
        <is>
          <t>30x62</t>
        </is>
      </c>
      <c r="F34" s="39" t="n">
        <v>1238.5</v>
      </c>
      <c r="G34" s="17" t="n">
        <v>2.481</v>
      </c>
      <c r="H34" s="17">
        <f>G34*D34</f>
        <v/>
      </c>
      <c r="I34" s="17" t="n">
        <v>45</v>
      </c>
      <c r="J34" s="17" t="n">
        <v>27</v>
      </c>
      <c r="K34" s="41" t="n">
        <v>265.31</v>
      </c>
      <c r="L34" s="41" t="n">
        <v>90.23999999999999</v>
      </c>
      <c r="M34" s="41" t="n"/>
      <c r="N34" s="10">
        <f>G34*2400+K34+L34+M34</f>
        <v/>
      </c>
      <c r="O34" s="10">
        <f>(K34+M34)/G34</f>
        <v/>
      </c>
      <c r="P34" s="10">
        <f>L34/G34</f>
        <v/>
      </c>
      <c r="Q34" s="10">
        <f>N34*D34/1000</f>
        <v/>
      </c>
      <c r="R34" s="11">
        <f>K34*D34/1000</f>
        <v/>
      </c>
      <c r="S34" s="11">
        <f>L34*D34/1000</f>
        <v/>
      </c>
    </row>
    <row r="35" ht="50.1" customFormat="1" customHeight="1" s="6">
      <c r="A35" s="17" t="inlineStr">
        <is>
          <t>VIGA</t>
        </is>
      </c>
      <c r="B35" s="18" t="inlineStr">
        <is>
          <t>VLA209=VLA310=VLA409</t>
        </is>
      </c>
      <c r="C35" s="19" t="inlineStr">
        <is>
          <t>VLA209=VLA310=VLA409-30x56x707-FORMA E ARMAÇÃO-R01</t>
        </is>
      </c>
      <c r="D35" s="17" t="n">
        <v>3</v>
      </c>
      <c r="E35" s="39" t="inlineStr">
        <is>
          <t>30x56</t>
        </is>
      </c>
      <c r="F35" s="39" t="n">
        <v>707</v>
      </c>
      <c r="G35" s="17" t="n">
        <v>1.248</v>
      </c>
      <c r="H35" s="17">
        <f>G35*D35</f>
        <v/>
      </c>
      <c r="I35" s="17" t="n">
        <v>45</v>
      </c>
      <c r="J35" s="17" t="n">
        <v>20</v>
      </c>
      <c r="K35" s="41" t="n">
        <v>240.39</v>
      </c>
      <c r="L35" s="41" t="n">
        <v>4.73</v>
      </c>
      <c r="M35" s="41" t="n"/>
      <c r="N35" s="10">
        <f>G35*2400+K35+L35+M35</f>
        <v/>
      </c>
      <c r="O35" s="10">
        <f>(K35+M35)/G35</f>
        <v/>
      </c>
      <c r="P35" s="10">
        <f>L35/G35</f>
        <v/>
      </c>
      <c r="Q35" s="10">
        <f>N35*D35/1000</f>
        <v/>
      </c>
      <c r="R35" s="11">
        <f>K35*D35/1000</f>
        <v/>
      </c>
      <c r="S35" s="11">
        <f>L35*D35/1000</f>
        <v/>
      </c>
    </row>
    <row r="36" ht="50.1" customFormat="1" customHeight="1" s="6">
      <c r="A36" s="17" t="inlineStr">
        <is>
          <t>VIGA</t>
        </is>
      </c>
      <c r="B36" s="18" t="inlineStr">
        <is>
          <t>VLA218=VLA319=VLA419</t>
        </is>
      </c>
      <c r="C36" s="19" t="inlineStr">
        <is>
          <t>VLA218=VLA319=VLA419-30x62x575.5-FORMA E ARMAÇÃO-R00</t>
        </is>
      </c>
      <c r="D36" s="17" t="n">
        <v>3</v>
      </c>
      <c r="E36" s="39" t="inlineStr">
        <is>
          <t>30x62</t>
        </is>
      </c>
      <c r="F36" s="39" t="n">
        <v>575.5</v>
      </c>
      <c r="G36" s="17" t="n">
        <v>1.118</v>
      </c>
      <c r="H36" s="17">
        <f>G36*D36</f>
        <v/>
      </c>
      <c r="I36" s="17" t="n">
        <v>45</v>
      </c>
      <c r="J36" s="17" t="n">
        <v>20</v>
      </c>
      <c r="K36" s="41" t="n">
        <v>201.21</v>
      </c>
      <c r="L36" s="41" t="n">
        <v>4.73</v>
      </c>
      <c r="M36" s="41" t="n"/>
      <c r="N36" s="10">
        <f>G36*2400+K36+L36+M36</f>
        <v/>
      </c>
      <c r="O36" s="10">
        <f>(K36+M36)/G36</f>
        <v/>
      </c>
      <c r="P36" s="10">
        <f>L36/G36</f>
        <v/>
      </c>
      <c r="Q36" s="10">
        <f>N36*D36/1000</f>
        <v/>
      </c>
      <c r="R36" s="11">
        <f>K36*D36/1000</f>
        <v/>
      </c>
      <c r="S36" s="11">
        <f>L36*D36/1000</f>
        <v/>
      </c>
    </row>
    <row r="37" ht="50.1" customFormat="1" customHeight="1" s="6">
      <c r="A37" s="17" t="inlineStr">
        <is>
          <t>VIGA</t>
        </is>
      </c>
      <c r="B37" s="18" t="inlineStr">
        <is>
          <t>VLA222=VLA322=VLA422=VLA522</t>
        </is>
      </c>
      <c r="C37" s="19" t="inlineStr">
        <is>
          <t>VLA222=VLA322=VLA422=VLA522-30x70x467-FORMA E ARMAÇÃO-R00</t>
        </is>
      </c>
      <c r="D37" s="17" t="n">
        <v>4</v>
      </c>
      <c r="E37" s="39" t="inlineStr">
        <is>
          <t>30x70</t>
        </is>
      </c>
      <c r="F37" s="39" t="n">
        <v>467</v>
      </c>
      <c r="G37" s="17" t="n">
        <v>1.006</v>
      </c>
      <c r="H37" s="17">
        <f>G37*D37</f>
        <v/>
      </c>
      <c r="I37" s="17" t="n">
        <v>45</v>
      </c>
      <c r="J37" s="17" t="n">
        <v>20</v>
      </c>
      <c r="K37" s="41" t="n">
        <v>155.84</v>
      </c>
      <c r="L37" s="41" t="n">
        <v>2.85</v>
      </c>
      <c r="M37" s="41" t="n"/>
      <c r="N37" s="10">
        <f>G37*2400+K37+L37+M37</f>
        <v/>
      </c>
      <c r="O37" s="10">
        <f>(K37+M37)/G37</f>
        <v/>
      </c>
      <c r="P37" s="10">
        <f>L37/G37</f>
        <v/>
      </c>
      <c r="Q37" s="10">
        <f>N37*D37/1000</f>
        <v/>
      </c>
      <c r="R37" s="11">
        <f>K37*D37/1000</f>
        <v/>
      </c>
      <c r="S37" s="11">
        <f>L37*D37/1000</f>
        <v/>
      </c>
    </row>
    <row r="38" ht="50.1" customFormat="1" customHeight="1" s="6">
      <c r="A38" s="17" t="inlineStr">
        <is>
          <t>VIGA</t>
        </is>
      </c>
      <c r="B38" s="18" t="inlineStr">
        <is>
          <t>VLA223=VLA323=VLA423</t>
        </is>
      </c>
      <c r="C38" s="19" t="inlineStr">
        <is>
          <t>VLA223=VLA323=VLA423-30x70x904.5-FORMA E ARMAÇÃO-R00</t>
        </is>
      </c>
      <c r="D38" s="17" t="n">
        <v>3</v>
      </c>
      <c r="E38" s="39" t="inlineStr">
        <is>
          <t>30x70</t>
        </is>
      </c>
      <c r="F38" s="39" t="n">
        <v>904.5</v>
      </c>
      <c r="G38" s="17" t="n">
        <v>2.006</v>
      </c>
      <c r="H38" s="17">
        <f>G38*D38</f>
        <v/>
      </c>
      <c r="I38" s="17" t="n">
        <v>45</v>
      </c>
      <c r="J38" s="17" t="n">
        <v>27</v>
      </c>
      <c r="K38" s="41" t="n">
        <v>238.98</v>
      </c>
      <c r="L38" s="41" t="n">
        <v>45.49</v>
      </c>
      <c r="M38" s="41" t="n"/>
      <c r="N38" s="10">
        <f>G38*2400+K38+L38+M38</f>
        <v/>
      </c>
      <c r="O38" s="10">
        <f>(K38+M38)/G38</f>
        <v/>
      </c>
      <c r="P38" s="10">
        <f>L38/G38</f>
        <v/>
      </c>
      <c r="Q38" s="10">
        <f>N38*D38/1000</f>
        <v/>
      </c>
      <c r="R38" s="11">
        <f>K38*D38/1000</f>
        <v/>
      </c>
      <c r="S38" s="11">
        <f>L38*D38/1000</f>
        <v/>
      </c>
    </row>
    <row r="39" ht="50.1" customFormat="1" customHeight="1" s="6">
      <c r="A39" s="17" t="inlineStr">
        <is>
          <t>VIGA</t>
        </is>
      </c>
      <c r="B39" s="18" t="inlineStr">
        <is>
          <t>VLA315=VLA414=VLA512</t>
        </is>
      </c>
      <c r="C39" s="19" t="inlineStr">
        <is>
          <t>VLA315=VLA414=VLA512-30x70x597-FORMA E ARMAÇÃO-R00</t>
        </is>
      </c>
      <c r="D39" s="17" t="n">
        <v>3</v>
      </c>
      <c r="E39" s="39" t="inlineStr">
        <is>
          <t>30x70</t>
        </is>
      </c>
      <c r="F39" s="39" t="n">
        <v>597</v>
      </c>
      <c r="G39" s="17" t="n">
        <v>1.302</v>
      </c>
      <c r="H39" s="17">
        <f>G39*D39</f>
        <v/>
      </c>
      <c r="I39" s="17" t="n">
        <v>45</v>
      </c>
      <c r="J39" s="17" t="n">
        <v>27</v>
      </c>
      <c r="K39" s="41" t="n">
        <v>179.65</v>
      </c>
      <c r="L39" s="41" t="n">
        <v>31.62</v>
      </c>
      <c r="M39" s="41" t="n"/>
      <c r="N39" s="10">
        <f>G39*2400+K39+L39+M39</f>
        <v/>
      </c>
      <c r="O39" s="10">
        <f>(K39+M39)/G39</f>
        <v/>
      </c>
      <c r="P39" s="10">
        <f>L39/G39</f>
        <v/>
      </c>
      <c r="Q39" s="10">
        <f>N39*D39/1000</f>
        <v/>
      </c>
      <c r="R39" s="11">
        <f>K39*D39/1000</f>
        <v/>
      </c>
      <c r="S39" s="11">
        <f>L39*D39/1000</f>
        <v/>
      </c>
    </row>
    <row r="40" ht="50.1" customFormat="1" customHeight="1" s="6">
      <c r="A40" s="17" t="inlineStr">
        <is>
          <t>VIGA</t>
        </is>
      </c>
      <c r="B40" s="18" t="inlineStr">
        <is>
          <t>VLA514</t>
        </is>
      </c>
      <c r="C40" s="19" t="inlineStr">
        <is>
          <t>VLA514-30x62x1238.5-FORMA E ARMAÇÃO-R00</t>
        </is>
      </c>
      <c r="D40" s="17" t="n">
        <v>1</v>
      </c>
      <c r="E40" s="39" t="inlineStr">
        <is>
          <t>30x62</t>
        </is>
      </c>
      <c r="F40" s="39" t="n">
        <v>1238.5</v>
      </c>
      <c r="G40" s="17" t="n">
        <v>2.456</v>
      </c>
      <c r="H40" s="17">
        <f>G40*D40</f>
        <v/>
      </c>
      <c r="I40" s="17" t="n">
        <v>45</v>
      </c>
      <c r="J40" s="17" t="n">
        <v>35</v>
      </c>
      <c r="K40" s="41" t="n">
        <v>424.33</v>
      </c>
      <c r="L40" s="41" t="n">
        <v>146.04</v>
      </c>
      <c r="M40" s="41" t="n"/>
      <c r="N40" s="10">
        <f>G40*2400+K40+L40+M40</f>
        <v/>
      </c>
      <c r="O40" s="10">
        <f>(K40+M40)/G40</f>
        <v/>
      </c>
      <c r="P40" s="10">
        <f>L40/G40</f>
        <v/>
      </c>
      <c r="Q40" s="10">
        <f>N40*D40/1000</f>
        <v/>
      </c>
      <c r="R40" s="11">
        <f>K40*D40/1000</f>
        <v/>
      </c>
      <c r="S40" s="11">
        <f>L40*D40/1000</f>
        <v/>
      </c>
    </row>
    <row r="41" ht="50.1" customFormat="1" customHeight="1" s="6">
      <c r="A41" s="17" t="inlineStr">
        <is>
          <t>VIGA</t>
        </is>
      </c>
      <c r="B41" s="18" t="inlineStr">
        <is>
          <t>VLA517</t>
        </is>
      </c>
      <c r="C41" s="19" t="inlineStr">
        <is>
          <t>VLA517-30x62x575.5-FORMA E ARMAÇÃO-R00</t>
        </is>
      </c>
      <c r="D41" s="17" t="n">
        <v>1</v>
      </c>
      <c r="E41" s="39" t="inlineStr">
        <is>
          <t>30x62</t>
        </is>
      </c>
      <c r="F41" s="39" t="n">
        <v>575.5</v>
      </c>
      <c r="G41" s="17" t="n">
        <v>1.116</v>
      </c>
      <c r="H41" s="17">
        <f>G41*D41</f>
        <v/>
      </c>
      <c r="I41" s="17" t="n">
        <v>45</v>
      </c>
      <c r="J41" s="17" t="n">
        <v>27</v>
      </c>
      <c r="K41" s="41" t="n">
        <v>168.64</v>
      </c>
      <c r="L41" s="41" t="n">
        <v>30.67</v>
      </c>
      <c r="M41" s="41" t="n"/>
      <c r="N41" s="10">
        <f>G41*2400+K41+L41+M41</f>
        <v/>
      </c>
      <c r="O41" s="10">
        <f>(K41+M41)/G41</f>
        <v/>
      </c>
      <c r="P41" s="10">
        <f>L41/G41</f>
        <v/>
      </c>
      <c r="Q41" s="10">
        <f>N41*D41/1000</f>
        <v/>
      </c>
      <c r="R41" s="11">
        <f>K41*D41/1000</f>
        <v/>
      </c>
      <c r="S41" s="11">
        <f>L41*D41/1000</f>
        <v/>
      </c>
    </row>
    <row r="42" ht="50.1" customFormat="1" customHeight="1" s="6">
      <c r="A42" s="17" t="inlineStr">
        <is>
          <t>VIGA</t>
        </is>
      </c>
      <c r="B42" s="18" t="inlineStr">
        <is>
          <t>VLA523</t>
        </is>
      </c>
      <c r="C42" s="19" t="inlineStr">
        <is>
          <t>VLA523-30x70x904.5-FORMA E ARMAÇÃO-R00</t>
        </is>
      </c>
      <c r="D42" s="17" t="n">
        <v>1</v>
      </c>
      <c r="E42" s="39" t="inlineStr">
        <is>
          <t>30x70</t>
        </is>
      </c>
      <c r="F42" s="39" t="n">
        <v>904.5</v>
      </c>
      <c r="G42" s="17" t="n">
        <v>1.999</v>
      </c>
      <c r="H42" s="17">
        <f>G42*D42</f>
        <v/>
      </c>
      <c r="I42" s="17" t="n">
        <v>45</v>
      </c>
      <c r="J42" s="17" t="n">
        <v>27</v>
      </c>
      <c r="K42" s="41" t="n">
        <v>279.24</v>
      </c>
      <c r="L42" s="41" t="n">
        <v>65.87</v>
      </c>
      <c r="M42" s="41" t="n"/>
      <c r="N42" s="10">
        <f>G42*2400+K42+L42+M42</f>
        <v/>
      </c>
      <c r="O42" s="10">
        <f>(K42+M42)/G42</f>
        <v/>
      </c>
      <c r="P42" s="10">
        <f>L42/G42</f>
        <v/>
      </c>
      <c r="Q42" s="10">
        <f>N42*D42/1000</f>
        <v/>
      </c>
      <c r="R42" s="11">
        <f>K42*D42/1000</f>
        <v/>
      </c>
      <c r="S42" s="11">
        <f>L42*D42/1000</f>
        <v/>
      </c>
    </row>
    <row r="43" ht="50.1" customFormat="1" customHeight="1" s="6">
      <c r="A43" s="17" t="n"/>
      <c r="B43" s="18" t="n"/>
      <c r="C43" s="19" t="n"/>
      <c r="D43" s="17" t="n"/>
      <c r="E43" s="39" t="n"/>
      <c r="F43" s="39" t="n"/>
      <c r="G43" s="17" t="n"/>
      <c r="H43" s="17" t="n"/>
      <c r="I43" s="17" t="n"/>
      <c r="J43" s="17" t="n"/>
      <c r="K43" s="41" t="n"/>
      <c r="L43" s="41" t="n"/>
      <c r="M43" s="41" t="n"/>
      <c r="N43" s="10" t="n"/>
      <c r="O43" s="10" t="n"/>
      <c r="P43" s="10" t="n"/>
      <c r="Q43" s="10" t="n"/>
      <c r="R43" s="11" t="n"/>
      <c r="S43" s="11" t="n"/>
    </row>
    <row r="44" ht="50.1" customFormat="1" customHeight="1" s="6">
      <c r="A44" s="17" t="n"/>
      <c r="B44" s="18" t="n"/>
      <c r="C44" s="19" t="n"/>
      <c r="D44" s="17" t="n"/>
      <c r="E44" s="39" t="n"/>
      <c r="F44" s="39" t="n"/>
      <c r="G44" s="17" t="n"/>
      <c r="H44" s="17" t="n"/>
      <c r="I44" s="17" t="n"/>
      <c r="J44" s="17" t="n"/>
      <c r="K44" s="41" t="n"/>
      <c r="L44" s="41" t="n"/>
      <c r="M44" s="41" t="n"/>
      <c r="N44" s="10" t="n"/>
      <c r="O44" s="10" t="n"/>
      <c r="P44" s="10" t="n"/>
      <c r="Q44" s="10" t="n"/>
      <c r="R44" s="11" t="n"/>
      <c r="S44" s="11" t="n"/>
    </row>
    <row r="45" ht="50.1" customFormat="1" customHeight="1" s="6">
      <c r="A45" s="17" t="n"/>
      <c r="B45" s="18" t="n"/>
      <c r="C45" s="19" t="n"/>
      <c r="D45" s="17" t="n"/>
      <c r="E45" s="39" t="n"/>
      <c r="F45" s="39" t="n"/>
      <c r="G45" s="17" t="n"/>
      <c r="H45" s="17" t="n"/>
      <c r="I45" s="17" t="n"/>
      <c r="J45" s="17" t="n"/>
      <c r="K45" s="41" t="n"/>
      <c r="L45" s="41" t="n"/>
      <c r="M45" s="41" t="n"/>
      <c r="N45" s="10" t="n"/>
      <c r="O45" s="10" t="n"/>
      <c r="P45" s="10" t="n"/>
      <c r="Q45" s="10" t="n"/>
      <c r="R45" s="11" t="n"/>
      <c r="S45" s="11" t="n"/>
    </row>
    <row r="46" ht="50.1" customFormat="1" customHeight="1" s="6">
      <c r="A46" s="17" t="n"/>
      <c r="B46" s="18" t="n"/>
      <c r="C46" s="19" t="n"/>
      <c r="D46" s="17" t="n"/>
      <c r="E46" s="39" t="n"/>
      <c r="F46" s="39" t="n"/>
      <c r="G46" s="17" t="n"/>
      <c r="H46" s="17" t="n"/>
      <c r="I46" s="17" t="n"/>
      <c r="J46" s="17" t="n"/>
      <c r="K46" s="41" t="n"/>
      <c r="L46" s="41" t="n"/>
      <c r="M46" s="41" t="n"/>
      <c r="N46" s="10" t="n"/>
      <c r="O46" s="10" t="n"/>
      <c r="P46" s="10" t="n"/>
      <c r="Q46" s="10" t="n"/>
      <c r="R46" s="11" t="n"/>
      <c r="S46" s="11" t="n"/>
    </row>
    <row r="47" ht="50.1" customFormat="1" customHeight="1" s="6">
      <c r="A47" s="17" t="n"/>
      <c r="B47" s="18" t="n"/>
      <c r="C47" s="19" t="n"/>
      <c r="D47" s="17" t="n"/>
      <c r="E47" s="39" t="n"/>
      <c r="F47" s="39" t="n"/>
      <c r="G47" s="17" t="n"/>
      <c r="H47" s="17" t="n"/>
      <c r="I47" s="17" t="n"/>
      <c r="J47" s="17" t="n"/>
      <c r="K47" s="41" t="n"/>
      <c r="L47" s="41" t="n"/>
      <c r="M47" s="41" t="n"/>
      <c r="N47" s="10" t="n"/>
      <c r="O47" s="10" t="n"/>
      <c r="P47" s="10" t="n"/>
      <c r="Q47" s="10" t="n"/>
      <c r="R47" s="11" t="n"/>
      <c r="S47" s="11" t="n"/>
    </row>
    <row r="48" ht="50.1" customFormat="1" customHeight="1" s="6">
      <c r="A48" s="17" t="n"/>
      <c r="B48" s="18" t="n"/>
      <c r="C48" s="19" t="n"/>
      <c r="D48" s="17" t="n"/>
      <c r="E48" s="39" t="n"/>
      <c r="F48" s="39" t="n"/>
      <c r="G48" s="17" t="n"/>
      <c r="H48" s="17" t="n"/>
      <c r="I48" s="17" t="n"/>
      <c r="J48" s="17" t="n"/>
      <c r="K48" s="41" t="n"/>
      <c r="L48" s="41" t="n"/>
      <c r="M48" s="41" t="n"/>
      <c r="N48" s="10" t="n"/>
      <c r="O48" s="10" t="n"/>
      <c r="P48" s="10" t="n"/>
      <c r="Q48" s="10" t="n"/>
      <c r="R48" s="11" t="n"/>
      <c r="S48" s="11" t="n"/>
    </row>
    <row r="49" ht="50.1" customFormat="1" customHeight="1" s="6">
      <c r="A49" s="17" t="n"/>
      <c r="B49" s="18" t="n"/>
      <c r="C49" s="19" t="n"/>
      <c r="D49" s="17" t="n"/>
      <c r="E49" s="39" t="n"/>
      <c r="F49" s="39" t="n"/>
      <c r="G49" s="17" t="n"/>
      <c r="H49" s="17" t="n"/>
      <c r="I49" s="17" t="n"/>
      <c r="J49" s="17" t="n"/>
      <c r="K49" s="41" t="n"/>
      <c r="L49" s="41" t="n"/>
      <c r="M49" s="41" t="n"/>
      <c r="N49" s="10" t="n"/>
      <c r="O49" s="10" t="n"/>
      <c r="P49" s="10" t="n"/>
      <c r="Q49" s="10" t="n"/>
      <c r="R49" s="11" t="n"/>
      <c r="S49" s="11" t="n"/>
    </row>
    <row r="50" ht="50.1" customFormat="1" customHeight="1" s="6">
      <c r="A50" s="17" t="n"/>
      <c r="B50" s="18" t="n"/>
      <c r="C50" s="19" t="n"/>
      <c r="D50" s="17" t="n"/>
      <c r="E50" s="39" t="n"/>
      <c r="F50" s="39" t="n"/>
      <c r="G50" s="17" t="n"/>
      <c r="H50" s="17" t="n"/>
      <c r="I50" s="17" t="n"/>
      <c r="J50" s="17" t="n"/>
      <c r="K50" s="41" t="n"/>
      <c r="L50" s="41" t="n"/>
      <c r="M50" s="41" t="n"/>
      <c r="N50" s="10" t="n"/>
      <c r="O50" s="10" t="n"/>
      <c r="P50" s="10" t="n"/>
      <c r="Q50" s="10" t="n"/>
      <c r="R50" s="11" t="n"/>
      <c r="S50" s="11" t="n"/>
    </row>
    <row r="51" ht="50.1" customFormat="1" customHeight="1" s="6">
      <c r="A51" s="17" t="n"/>
      <c r="B51" s="18" t="n"/>
      <c r="C51" s="19" t="n"/>
      <c r="D51" s="17" t="n"/>
      <c r="E51" s="39" t="n"/>
      <c r="F51" s="39" t="n"/>
      <c r="G51" s="17" t="n"/>
      <c r="H51" s="17" t="n"/>
      <c r="I51" s="17" t="n"/>
      <c r="J51" s="17" t="n"/>
      <c r="K51" s="41" t="n"/>
      <c r="L51" s="41" t="n"/>
      <c r="M51" s="41" t="n"/>
      <c r="N51" s="10" t="n"/>
      <c r="O51" s="10" t="n"/>
      <c r="P51" s="10" t="n"/>
      <c r="Q51" s="10" t="n"/>
      <c r="R51" s="11" t="n"/>
      <c r="S51" s="11" t="n"/>
    </row>
    <row r="52" ht="50.1" customFormat="1" customHeight="1" s="6">
      <c r="A52" s="17" t="n"/>
      <c r="B52" s="18" t="n"/>
      <c r="C52" s="19" t="n"/>
      <c r="D52" s="17" t="n"/>
      <c r="E52" s="39" t="n"/>
      <c r="F52" s="39" t="n"/>
      <c r="G52" s="17" t="n"/>
      <c r="H52" s="17" t="n"/>
      <c r="I52" s="17" t="n"/>
      <c r="J52" s="17" t="n"/>
      <c r="K52" s="41" t="n"/>
      <c r="L52" s="41" t="n"/>
      <c r="M52" s="41" t="n"/>
      <c r="N52" s="10" t="n"/>
      <c r="O52" s="10" t="n"/>
      <c r="P52" s="10" t="n"/>
      <c r="Q52" s="10" t="n"/>
      <c r="R52" s="11" t="n"/>
      <c r="S52" s="11" t="n"/>
    </row>
    <row r="53" ht="50.1" customFormat="1" customHeight="1" s="6">
      <c r="A53" s="17" t="n"/>
      <c r="B53" s="18" t="n"/>
      <c r="C53" s="19" t="n"/>
      <c r="D53" s="17" t="n"/>
      <c r="E53" s="39" t="n"/>
      <c r="F53" s="39" t="n"/>
      <c r="G53" s="17" t="n"/>
      <c r="H53" s="17" t="n"/>
      <c r="I53" s="17" t="n"/>
      <c r="J53" s="17" t="n"/>
      <c r="K53" s="41" t="n"/>
      <c r="L53" s="41" t="n"/>
      <c r="M53" s="41" t="n"/>
      <c r="N53" s="10" t="n"/>
      <c r="O53" s="10" t="n"/>
      <c r="P53" s="10" t="n"/>
      <c r="Q53" s="10" t="n"/>
      <c r="R53" s="11" t="n"/>
      <c r="S53" s="11" t="n"/>
    </row>
    <row r="54" ht="50.1" customFormat="1" customHeight="1" s="6">
      <c r="A54" s="17" t="n"/>
      <c r="B54" s="18" t="n"/>
      <c r="C54" s="19" t="n"/>
      <c r="D54" s="17" t="n"/>
      <c r="E54" s="39" t="n"/>
      <c r="F54" s="39" t="n"/>
      <c r="G54" s="17" t="n"/>
      <c r="H54" s="17" t="n"/>
      <c r="I54" s="17" t="n"/>
      <c r="J54" s="17" t="n"/>
      <c r="K54" s="41" t="n"/>
      <c r="L54" s="41" t="n"/>
      <c r="M54" s="41" t="n"/>
      <c r="N54" s="10" t="n"/>
      <c r="O54" s="10" t="n"/>
      <c r="P54" s="10" t="n"/>
      <c r="Q54" s="10" t="n"/>
      <c r="R54" s="11" t="n"/>
      <c r="S54" s="11" t="n"/>
    </row>
    <row r="55" ht="50.1" customFormat="1" customHeight="1" s="6">
      <c r="A55" s="17" t="n"/>
      <c r="B55" s="18" t="n"/>
      <c r="C55" s="19" t="n"/>
      <c r="D55" s="17" t="n"/>
      <c r="E55" s="39" t="n"/>
      <c r="F55" s="39" t="n"/>
      <c r="G55" s="17" t="n"/>
      <c r="H55" s="17" t="n"/>
      <c r="I55" s="17" t="n"/>
      <c r="J55" s="17" t="n"/>
      <c r="K55" s="41" t="n"/>
      <c r="L55" s="41" t="n"/>
      <c r="M55" s="41" t="n"/>
      <c r="N55" s="10" t="n"/>
      <c r="O55" s="10" t="n"/>
      <c r="P55" s="10" t="n"/>
      <c r="Q55" s="10" t="n"/>
      <c r="R55" s="11" t="n"/>
      <c r="S55" s="11" t="n"/>
    </row>
    <row r="56" ht="50.1" customFormat="1" customHeight="1" s="6">
      <c r="A56" s="30" t="n"/>
      <c r="B56" s="31" t="n"/>
      <c r="C56" s="32" t="n"/>
      <c r="D56" s="30" t="n"/>
      <c r="E56" s="38" t="n"/>
      <c r="F56" s="38" t="n"/>
      <c r="G56" s="30" t="n"/>
      <c r="H56" s="30" t="n"/>
      <c r="I56" s="30" t="n"/>
      <c r="J56" s="30" t="n"/>
      <c r="K56" s="40" t="n"/>
      <c r="L56" s="40" t="n"/>
      <c r="M56" s="40" t="n"/>
      <c r="N56" s="10" t="n"/>
      <c r="O56" s="10" t="n"/>
      <c r="P56" s="10" t="n"/>
      <c r="Q56" s="10" t="n"/>
      <c r="R56" s="11" t="n"/>
      <c r="S56" s="11" t="n"/>
    </row>
    <row r="57" ht="50.1" customFormat="1" customHeight="1" s="6">
      <c r="A57" s="30" t="n"/>
      <c r="B57" s="31" t="n"/>
      <c r="C57" s="32" t="n"/>
      <c r="D57" s="30" t="n"/>
      <c r="E57" s="38" t="n"/>
      <c r="F57" s="38" t="n"/>
      <c r="G57" s="30" t="n"/>
      <c r="H57" s="30" t="n"/>
      <c r="I57" s="30" t="n"/>
      <c r="J57" s="30" t="n"/>
      <c r="K57" s="40" t="n"/>
      <c r="L57" s="40" t="n"/>
      <c r="M57" s="40" t="n"/>
      <c r="N57" s="10" t="n"/>
      <c r="O57" s="10" t="n"/>
      <c r="P57" s="10" t="n"/>
      <c r="Q57" s="10" t="n"/>
      <c r="R57" s="11" t="n"/>
      <c r="S57" s="11" t="n"/>
    </row>
    <row r="58" ht="50.1" customFormat="1" customHeight="1" s="6">
      <c r="A58" s="30" t="n"/>
      <c r="B58" s="31" t="n"/>
      <c r="C58" s="32" t="n"/>
      <c r="D58" s="30" t="n"/>
      <c r="E58" s="38" t="n"/>
      <c r="F58" s="38" t="n"/>
      <c r="G58" s="30" t="n"/>
      <c r="H58" s="30" t="n"/>
      <c r="I58" s="30" t="n"/>
      <c r="J58" s="30" t="n"/>
      <c r="K58" s="40" t="n"/>
      <c r="L58" s="40" t="n"/>
      <c r="M58" s="40" t="n"/>
      <c r="N58" s="10" t="n"/>
      <c r="O58" s="10" t="n"/>
      <c r="P58" s="10" t="n"/>
      <c r="Q58" s="10" t="n"/>
      <c r="R58" s="11" t="n"/>
      <c r="S58" s="11" t="n"/>
    </row>
    <row r="59" ht="50.1" customFormat="1" customHeight="1" s="6">
      <c r="A59" s="30" t="n"/>
      <c r="B59" s="31" t="n"/>
      <c r="C59" s="32" t="n"/>
      <c r="D59" s="30" t="n"/>
      <c r="E59" s="38" t="n"/>
      <c r="F59" s="38" t="n"/>
      <c r="G59" s="30" t="n"/>
      <c r="H59" s="30" t="n"/>
      <c r="I59" s="30" t="n"/>
      <c r="J59" s="30" t="n"/>
      <c r="K59" s="40" t="n"/>
      <c r="L59" s="40" t="n"/>
      <c r="M59" s="40" t="n"/>
      <c r="N59" s="10" t="n"/>
      <c r="O59" s="10" t="n"/>
      <c r="P59" s="10" t="n"/>
      <c r="Q59" s="10" t="n"/>
      <c r="R59" s="11" t="n"/>
      <c r="S59" s="11" t="n"/>
    </row>
    <row r="60" ht="50.1" customFormat="1" customHeight="1" s="6">
      <c r="A60" s="30" t="n"/>
      <c r="B60" s="31" t="n"/>
      <c r="C60" s="32" t="n"/>
      <c r="D60" s="30" t="n"/>
      <c r="E60" s="38" t="n"/>
      <c r="F60" s="38" t="n"/>
      <c r="G60" s="30" t="n"/>
      <c r="H60" s="30" t="n"/>
      <c r="I60" s="30" t="n"/>
      <c r="J60" s="30" t="n"/>
      <c r="K60" s="40" t="n"/>
      <c r="L60" s="40" t="n"/>
      <c r="M60" s="40" t="n"/>
      <c r="N60" s="10" t="n"/>
      <c r="O60" s="10" t="n"/>
      <c r="P60" s="10" t="n"/>
      <c r="Q60" s="10" t="n"/>
      <c r="R60" s="11" t="n"/>
      <c r="S60" s="11" t="n"/>
    </row>
    <row r="61" ht="50.1" customFormat="1" customHeight="1" s="6">
      <c r="A61" s="30" t="n"/>
      <c r="B61" s="31" t="n"/>
      <c r="C61" s="32" t="n"/>
      <c r="D61" s="30" t="n"/>
      <c r="E61" s="38" t="n"/>
      <c r="F61" s="38" t="n"/>
      <c r="G61" s="30" t="n"/>
      <c r="H61" s="30" t="n"/>
      <c r="I61" s="30" t="n"/>
      <c r="J61" s="30" t="n"/>
      <c r="K61" s="40" t="n"/>
      <c r="L61" s="40" t="n"/>
      <c r="M61" s="40" t="n"/>
      <c r="N61" s="10" t="n"/>
      <c r="O61" s="10" t="n"/>
      <c r="P61" s="10" t="n"/>
      <c r="Q61" s="10" t="n"/>
      <c r="R61" s="11" t="n"/>
      <c r="S61" s="11" t="n"/>
    </row>
    <row r="62" ht="50.1" customFormat="1" customHeight="1" s="6">
      <c r="A62" s="30" t="n"/>
      <c r="B62" s="31" t="n"/>
      <c r="C62" s="32" t="n"/>
      <c r="D62" s="30" t="n"/>
      <c r="E62" s="38" t="n"/>
      <c r="F62" s="38" t="n"/>
      <c r="G62" s="30" t="n"/>
      <c r="H62" s="30" t="n"/>
      <c r="I62" s="30" t="n"/>
      <c r="J62" s="30" t="n"/>
      <c r="K62" s="40" t="n"/>
      <c r="L62" s="40" t="n"/>
      <c r="M62" s="40" t="n"/>
      <c r="N62" s="10" t="n"/>
      <c r="O62" s="10" t="n"/>
      <c r="P62" s="10" t="n"/>
      <c r="Q62" s="10" t="n"/>
      <c r="R62" s="11" t="n"/>
      <c r="S62" s="11" t="n"/>
    </row>
    <row r="63" ht="50.1" customFormat="1" customHeight="1" s="6">
      <c r="A63" s="30" t="n"/>
      <c r="B63" s="31" t="n"/>
      <c r="C63" s="32" t="n"/>
      <c r="D63" s="30" t="n"/>
      <c r="E63" s="38" t="n"/>
      <c r="F63" s="38" t="n"/>
      <c r="G63" s="30" t="n"/>
      <c r="H63" s="30" t="n"/>
      <c r="I63" s="30" t="n"/>
      <c r="J63" s="30" t="n"/>
      <c r="K63" s="40" t="n"/>
      <c r="L63" s="40" t="n"/>
      <c r="M63" s="40" t="n"/>
      <c r="N63" s="10" t="n"/>
      <c r="O63" s="10" t="n"/>
      <c r="P63" s="10" t="n"/>
      <c r="Q63" s="10" t="n"/>
      <c r="R63" s="11" t="n"/>
      <c r="S63" s="11" t="n"/>
    </row>
    <row r="64" ht="50.1" customFormat="1" customHeight="1" s="6">
      <c r="A64" s="30" t="n"/>
      <c r="B64" s="31" t="n"/>
      <c r="C64" s="32" t="n"/>
      <c r="D64" s="30" t="n"/>
      <c r="E64" s="38" t="n"/>
      <c r="F64" s="38" t="n"/>
      <c r="G64" s="30" t="n"/>
      <c r="H64" s="30" t="n"/>
      <c r="I64" s="30" t="n"/>
      <c r="J64" s="30" t="n"/>
      <c r="K64" s="40" t="n"/>
      <c r="L64" s="40" t="n"/>
      <c r="M64" s="40" t="n"/>
      <c r="N64" s="10" t="n"/>
      <c r="O64" s="10" t="n"/>
      <c r="P64" s="10" t="n"/>
      <c r="Q64" s="10" t="n"/>
      <c r="R64" s="11" t="n"/>
      <c r="S64" s="11" t="n"/>
    </row>
    <row r="65" ht="50.1" customFormat="1" customHeight="1" s="6">
      <c r="A65" s="30" t="n"/>
      <c r="B65" s="31" t="n"/>
      <c r="C65" s="32" t="n"/>
      <c r="D65" s="30" t="n"/>
      <c r="E65" s="38" t="n"/>
      <c r="F65" s="38" t="n"/>
      <c r="G65" s="30" t="n"/>
      <c r="H65" s="30" t="n"/>
      <c r="I65" s="30" t="n"/>
      <c r="J65" s="30" t="n"/>
      <c r="K65" s="40" t="n"/>
      <c r="L65" s="40" t="n"/>
      <c r="M65" s="40" t="n"/>
      <c r="N65" s="10" t="n"/>
      <c r="O65" s="10" t="n"/>
      <c r="P65" s="10" t="n"/>
      <c r="Q65" s="10" t="n"/>
      <c r="R65" s="11" t="n"/>
      <c r="S65" s="11" t="n"/>
    </row>
    <row r="66" ht="50.1" customFormat="1" customHeight="1" s="6">
      <c r="A66" s="30" t="n"/>
      <c r="B66" s="31" t="n"/>
      <c r="C66" s="32" t="n"/>
      <c r="D66" s="30" t="n"/>
      <c r="E66" s="38" t="n"/>
      <c r="F66" s="38" t="n"/>
      <c r="G66" s="30" t="n"/>
      <c r="H66" s="30" t="n"/>
      <c r="I66" s="30" t="n"/>
      <c r="J66" s="30" t="n"/>
      <c r="K66" s="40" t="n"/>
      <c r="L66" s="40" t="n"/>
      <c r="M66" s="40" t="n"/>
      <c r="N66" s="10" t="n"/>
      <c r="O66" s="10" t="n"/>
      <c r="P66" s="10" t="n"/>
      <c r="Q66" s="10" t="n"/>
      <c r="R66" s="11" t="n"/>
      <c r="S66" s="11" t="n"/>
    </row>
    <row r="67" ht="50.1" customFormat="1" customHeight="1" s="6">
      <c r="A67" s="30" t="n"/>
      <c r="B67" s="31" t="n"/>
      <c r="C67" s="32" t="n"/>
      <c r="D67" s="30" t="n"/>
      <c r="E67" s="38" t="n"/>
      <c r="F67" s="38" t="n"/>
      <c r="G67" s="30" t="n"/>
      <c r="H67" s="30" t="n"/>
      <c r="I67" s="30" t="n"/>
      <c r="J67" s="30" t="n"/>
      <c r="K67" s="40" t="n"/>
      <c r="L67" s="40" t="n"/>
      <c r="M67" s="40" t="n"/>
      <c r="N67" s="10" t="n"/>
      <c r="O67" s="10" t="n"/>
      <c r="P67" s="10" t="n"/>
      <c r="Q67" s="10" t="n"/>
      <c r="R67" s="11" t="n"/>
      <c r="S67" s="11" t="n"/>
    </row>
    <row r="68" ht="50.1" customFormat="1" customHeight="1" s="6">
      <c r="A68" s="30" t="n"/>
      <c r="B68" s="31" t="n"/>
      <c r="C68" s="32" t="n"/>
      <c r="D68" s="30" t="n"/>
      <c r="E68" s="38" t="n"/>
      <c r="F68" s="38" t="n"/>
      <c r="G68" s="30" t="n"/>
      <c r="H68" s="30" t="n"/>
      <c r="I68" s="30" t="n"/>
      <c r="J68" s="30" t="n"/>
      <c r="K68" s="40" t="n"/>
      <c r="L68" s="40" t="n"/>
      <c r="M68" s="40" t="n"/>
      <c r="N68" s="10" t="n"/>
      <c r="O68" s="10" t="n"/>
      <c r="P68" s="10" t="n"/>
      <c r="Q68" s="10" t="n"/>
      <c r="R68" s="11" t="n"/>
      <c r="S68" s="11" t="n"/>
    </row>
    <row r="69" ht="50.1" customFormat="1" customHeight="1" s="6">
      <c r="A69" s="30" t="n"/>
      <c r="B69" s="31" t="n"/>
      <c r="C69" s="32" t="n"/>
      <c r="D69" s="30" t="n"/>
      <c r="E69" s="38" t="n"/>
      <c r="F69" s="38" t="n"/>
      <c r="G69" s="30" t="n"/>
      <c r="H69" s="30" t="n"/>
      <c r="I69" s="30" t="n"/>
      <c r="J69" s="30" t="n"/>
      <c r="K69" s="40" t="n"/>
      <c r="L69" s="40" t="n"/>
      <c r="M69" s="40" t="n"/>
      <c r="N69" s="10" t="n"/>
      <c r="O69" s="10" t="n"/>
      <c r="P69" s="10" t="n"/>
      <c r="Q69" s="10" t="n"/>
      <c r="R69" s="11" t="n"/>
      <c r="S69" s="11" t="n"/>
    </row>
    <row r="70" ht="50.1" customFormat="1" customHeight="1" s="6">
      <c r="A70" s="30" t="n"/>
      <c r="B70" s="31" t="n"/>
      <c r="C70" s="32" t="n"/>
      <c r="D70" s="30" t="n"/>
      <c r="E70" s="38" t="n"/>
      <c r="F70" s="38" t="n"/>
      <c r="G70" s="30" t="n"/>
      <c r="H70" s="30" t="n"/>
      <c r="I70" s="30" t="n"/>
      <c r="J70" s="30" t="n"/>
      <c r="K70" s="40" t="n"/>
      <c r="L70" s="40" t="n"/>
      <c r="M70" s="40" t="n"/>
      <c r="N70" s="10" t="n"/>
      <c r="O70" s="10" t="n"/>
      <c r="P70" s="10" t="n"/>
      <c r="Q70" s="10" t="n"/>
      <c r="R70" s="11" t="n"/>
      <c r="S70" s="11" t="n"/>
    </row>
    <row r="71" ht="50.1" customFormat="1" customHeight="1" s="6">
      <c r="A71" s="30" t="n"/>
      <c r="B71" s="31" t="n"/>
      <c r="C71" s="32" t="n"/>
      <c r="D71" s="30" t="n"/>
      <c r="E71" s="38" t="n"/>
      <c r="F71" s="38" t="n"/>
      <c r="G71" s="30" t="n"/>
      <c r="H71" s="30" t="n"/>
      <c r="I71" s="30" t="n"/>
      <c r="J71" s="30" t="n"/>
      <c r="K71" s="40" t="n"/>
      <c r="L71" s="40" t="n"/>
      <c r="M71" s="40" t="n"/>
      <c r="N71" s="10" t="n"/>
      <c r="O71" s="10" t="n"/>
      <c r="P71" s="10" t="n"/>
      <c r="Q71" s="10" t="n"/>
      <c r="R71" s="11" t="n"/>
      <c r="S71" s="11" t="n"/>
    </row>
    <row r="72" ht="50.1" customFormat="1" customHeight="1" s="6">
      <c r="A72" s="30" t="n"/>
      <c r="B72" s="31" t="n"/>
      <c r="C72" s="32" t="n"/>
      <c r="D72" s="30" t="n"/>
      <c r="E72" s="38" t="n"/>
      <c r="F72" s="38" t="n"/>
      <c r="G72" s="30" t="n"/>
      <c r="H72" s="30" t="n"/>
      <c r="I72" s="30" t="n"/>
      <c r="J72" s="30" t="n"/>
      <c r="K72" s="40" t="n"/>
      <c r="L72" s="40" t="n"/>
      <c r="M72" s="40" t="n"/>
      <c r="N72" s="10" t="n"/>
      <c r="O72" s="10" t="n"/>
      <c r="P72" s="10" t="n"/>
      <c r="Q72" s="10" t="n"/>
      <c r="R72" s="11" t="n"/>
      <c r="S72" s="11" t="n"/>
    </row>
    <row r="73" ht="50.1" customFormat="1" customHeight="1" s="6">
      <c r="A73" s="30" t="n"/>
      <c r="B73" s="31" t="n"/>
      <c r="C73" s="32" t="n"/>
      <c r="D73" s="30" t="n"/>
      <c r="E73" s="38" t="n"/>
      <c r="F73" s="38" t="n"/>
      <c r="G73" s="30" t="n"/>
      <c r="H73" s="30" t="n"/>
      <c r="I73" s="30" t="n"/>
      <c r="J73" s="30" t="n"/>
      <c r="K73" s="40" t="n"/>
      <c r="L73" s="40" t="n"/>
      <c r="M73" s="40" t="n"/>
      <c r="N73" s="10" t="n"/>
      <c r="O73" s="10" t="n"/>
      <c r="P73" s="10" t="n"/>
      <c r="Q73" s="10" t="n"/>
      <c r="R73" s="11" t="n"/>
      <c r="S73" s="11" t="n"/>
    </row>
    <row r="74" ht="50.1" customFormat="1" customHeight="1" s="6">
      <c r="A74" s="30" t="n"/>
      <c r="B74" s="31" t="n"/>
      <c r="C74" s="32" t="n"/>
      <c r="D74" s="30" t="n"/>
      <c r="E74" s="38" t="n"/>
      <c r="F74" s="38" t="n"/>
      <c r="G74" s="30" t="n"/>
      <c r="H74" s="30" t="n"/>
      <c r="I74" s="30" t="n"/>
      <c r="J74" s="30" t="n"/>
      <c r="K74" s="40" t="n"/>
      <c r="L74" s="40" t="n"/>
      <c r="M74" s="40" t="n"/>
      <c r="N74" s="10" t="n"/>
      <c r="O74" s="10" t="n"/>
      <c r="P74" s="10" t="n"/>
      <c r="Q74" s="10" t="n"/>
      <c r="R74" s="11" t="n"/>
      <c r="S74" s="11" t="n"/>
    </row>
    <row r="75" ht="50.1" customFormat="1" customHeight="1" s="6">
      <c r="A75" s="30" t="n"/>
      <c r="B75" s="31" t="n"/>
      <c r="C75" s="32" t="n"/>
      <c r="D75" s="30" t="n"/>
      <c r="E75" s="38" t="n"/>
      <c r="F75" s="38" t="n"/>
      <c r="G75" s="30" t="n"/>
      <c r="H75" s="30" t="n"/>
      <c r="I75" s="30" t="n"/>
      <c r="J75" s="30" t="n"/>
      <c r="K75" s="40" t="n"/>
      <c r="L75" s="40" t="n"/>
      <c r="M75" s="40" t="n"/>
      <c r="N75" s="10" t="n"/>
      <c r="O75" s="10" t="n"/>
      <c r="P75" s="10" t="n"/>
      <c r="Q75" s="10" t="n"/>
      <c r="R75" s="11" t="n"/>
      <c r="S75" s="11" t="n"/>
    </row>
    <row r="76" ht="50.1" customFormat="1" customHeight="1" s="6">
      <c r="A76" s="30" t="n"/>
      <c r="B76" s="31" t="n"/>
      <c r="C76" s="32" t="n"/>
      <c r="D76" s="30" t="n"/>
      <c r="E76" s="38" t="n"/>
      <c r="F76" s="38" t="n"/>
      <c r="G76" s="30" t="n"/>
      <c r="H76" s="30" t="n"/>
      <c r="I76" s="30" t="n"/>
      <c r="J76" s="30" t="n"/>
      <c r="K76" s="40" t="n"/>
      <c r="L76" s="40" t="n"/>
      <c r="M76" s="40" t="n"/>
      <c r="N76" s="10" t="n"/>
      <c r="O76" s="10" t="n"/>
      <c r="P76" s="10" t="n"/>
      <c r="Q76" s="10" t="n"/>
      <c r="R76" s="11" t="n"/>
      <c r="S76" s="11" t="n"/>
    </row>
    <row r="77" ht="50.1" customFormat="1" customHeight="1" s="6">
      <c r="A77" s="30" t="n"/>
      <c r="B77" s="31" t="n"/>
      <c r="C77" s="32" t="n"/>
      <c r="D77" s="30" t="n"/>
      <c r="E77" s="38" t="n"/>
      <c r="F77" s="38" t="n"/>
      <c r="G77" s="30" t="n"/>
      <c r="H77" s="30" t="n"/>
      <c r="I77" s="30" t="n"/>
      <c r="J77" s="30" t="n"/>
      <c r="K77" s="40" t="n"/>
      <c r="L77" s="40" t="n"/>
      <c r="M77" s="40" t="n"/>
      <c r="N77" s="10" t="n"/>
      <c r="O77" s="10" t="n"/>
      <c r="P77" s="10" t="n"/>
      <c r="Q77" s="10" t="n"/>
      <c r="R77" s="11" t="n"/>
      <c r="S77" s="11" t="n"/>
    </row>
    <row r="78" ht="50.1" customFormat="1" customHeight="1" s="6">
      <c r="A78" s="30" t="n"/>
      <c r="B78" s="31" t="n"/>
      <c r="C78" s="32" t="n"/>
      <c r="D78" s="30" t="n"/>
      <c r="E78" s="38" t="n"/>
      <c r="F78" s="38" t="n"/>
      <c r="G78" s="30" t="n"/>
      <c r="H78" s="30" t="n"/>
      <c r="I78" s="30" t="n"/>
      <c r="J78" s="30" t="n"/>
      <c r="K78" s="40" t="n"/>
      <c r="L78" s="40" t="n"/>
      <c r="M78" s="40" t="n"/>
      <c r="N78" s="10" t="n"/>
      <c r="O78" s="10" t="n"/>
      <c r="P78" s="10" t="n"/>
      <c r="Q78" s="10" t="n"/>
      <c r="R78" s="11" t="n"/>
      <c r="S78" s="11" t="n"/>
    </row>
    <row r="79" ht="50.1" customFormat="1" customHeight="1" s="6">
      <c r="A79" s="30" t="n"/>
      <c r="B79" s="31" t="n"/>
      <c r="C79" s="32" t="n"/>
      <c r="D79" s="30" t="n"/>
      <c r="E79" s="38" t="n"/>
      <c r="F79" s="38" t="n"/>
      <c r="G79" s="30" t="n"/>
      <c r="H79" s="30" t="n"/>
      <c r="I79" s="30" t="n"/>
      <c r="J79" s="30" t="n"/>
      <c r="K79" s="40" t="n"/>
      <c r="L79" s="40" t="n"/>
      <c r="M79" s="40" t="n"/>
      <c r="N79" s="10" t="n"/>
      <c r="O79" s="10" t="n"/>
      <c r="P79" s="10" t="n"/>
      <c r="Q79" s="10" t="n"/>
      <c r="R79" s="11" t="n"/>
      <c r="S79" s="11" t="n"/>
    </row>
    <row r="80" ht="50.1" customFormat="1" customHeight="1" s="6">
      <c r="A80" s="30" t="n"/>
      <c r="B80" s="31" t="n"/>
      <c r="C80" s="32" t="n"/>
      <c r="D80" s="30" t="n"/>
      <c r="E80" s="38" t="n"/>
      <c r="F80" s="38" t="n"/>
      <c r="G80" s="30" t="n"/>
      <c r="H80" s="30" t="n"/>
      <c r="I80" s="30" t="n"/>
      <c r="J80" s="30" t="n"/>
      <c r="K80" s="40" t="n"/>
      <c r="L80" s="40" t="n"/>
      <c r="M80" s="40" t="n"/>
      <c r="N80" s="10" t="n"/>
      <c r="O80" s="10" t="n"/>
      <c r="P80" s="10" t="n"/>
      <c r="Q80" s="10" t="n"/>
      <c r="R80" s="11" t="n"/>
      <c r="S80" s="11" t="n"/>
    </row>
    <row r="81" ht="50.1" customFormat="1" customHeight="1" s="6">
      <c r="A81" s="30" t="n"/>
      <c r="B81" s="31" t="n"/>
      <c r="C81" s="32" t="n"/>
      <c r="D81" s="30" t="n"/>
      <c r="E81" s="38" t="n"/>
      <c r="F81" s="38" t="n"/>
      <c r="G81" s="30" t="n"/>
      <c r="H81" s="30" t="n"/>
      <c r="I81" s="30" t="n"/>
      <c r="J81" s="30" t="n"/>
      <c r="K81" s="40" t="n"/>
      <c r="L81" s="40" t="n"/>
      <c r="M81" s="40" t="n"/>
      <c r="N81" s="10" t="n"/>
      <c r="O81" s="10" t="n"/>
      <c r="P81" s="10" t="n"/>
      <c r="Q81" s="10" t="n"/>
      <c r="R81" s="11" t="n"/>
      <c r="S81" s="11" t="n"/>
    </row>
    <row r="82" ht="50.1" customFormat="1" customHeight="1" s="6">
      <c r="A82" s="30" t="n"/>
      <c r="B82" s="31" t="n"/>
      <c r="C82" s="32" t="n"/>
      <c r="D82" s="30" t="n"/>
      <c r="E82" s="38" t="n"/>
      <c r="F82" s="38" t="n"/>
      <c r="G82" s="30" t="n"/>
      <c r="H82" s="30" t="n"/>
      <c r="I82" s="30" t="n"/>
      <c r="J82" s="30" t="n"/>
      <c r="K82" s="40" t="n"/>
      <c r="L82" s="40" t="n"/>
      <c r="M82" s="40" t="n"/>
      <c r="N82" s="10" t="n"/>
      <c r="O82" s="10" t="n"/>
      <c r="P82" s="10" t="n"/>
      <c r="Q82" s="10" t="n"/>
      <c r="R82" s="11" t="n"/>
      <c r="S82" s="11" t="n"/>
    </row>
    <row r="83" ht="50.1" customFormat="1" customHeight="1" s="6">
      <c r="A83" s="30" t="n"/>
      <c r="B83" s="31" t="n"/>
      <c r="C83" s="32" t="n"/>
      <c r="D83" s="30" t="n"/>
      <c r="E83" s="38" t="n"/>
      <c r="F83" s="38" t="n"/>
      <c r="G83" s="30" t="n"/>
      <c r="H83" s="30" t="n"/>
      <c r="I83" s="30" t="n"/>
      <c r="J83" s="30" t="n"/>
      <c r="K83" s="40" t="n"/>
      <c r="L83" s="40" t="n"/>
      <c r="M83" s="40" t="n"/>
      <c r="N83" s="10" t="n"/>
      <c r="O83" s="10" t="n"/>
      <c r="P83" s="10" t="n"/>
      <c r="Q83" s="10" t="n"/>
      <c r="R83" s="11" t="n"/>
      <c r="S83" s="11" t="n"/>
    </row>
    <row r="84" ht="50.1" customFormat="1" customHeight="1" s="6">
      <c r="A84" s="30" t="n"/>
      <c r="B84" s="31" t="n"/>
      <c r="C84" s="32" t="n"/>
      <c r="D84" s="30" t="n"/>
      <c r="E84" s="38" t="n"/>
      <c r="F84" s="38" t="n"/>
      <c r="G84" s="30" t="n"/>
      <c r="H84" s="30" t="n"/>
      <c r="I84" s="30" t="n"/>
      <c r="J84" s="30" t="n"/>
      <c r="K84" s="40" t="n"/>
      <c r="L84" s="40" t="n"/>
      <c r="M84" s="40" t="n"/>
      <c r="N84" s="10" t="n"/>
      <c r="O84" s="10" t="n"/>
      <c r="P84" s="10" t="n"/>
      <c r="Q84" s="10" t="n"/>
      <c r="R84" s="11" t="n"/>
      <c r="S84" s="11" t="n"/>
    </row>
    <row r="85" ht="50.1" customFormat="1" customHeight="1" s="6">
      <c r="A85" s="30" t="n"/>
      <c r="B85" s="31" t="n"/>
      <c r="C85" s="32" t="n"/>
      <c r="D85" s="30" t="n"/>
      <c r="E85" s="38" t="n"/>
      <c r="F85" s="38" t="n"/>
      <c r="G85" s="30" t="n"/>
      <c r="H85" s="30" t="n"/>
      <c r="I85" s="30" t="n"/>
      <c r="J85" s="30" t="n"/>
      <c r="K85" s="40" t="n"/>
      <c r="L85" s="40" t="n"/>
      <c r="M85" s="40" t="n"/>
      <c r="N85" s="10" t="n"/>
      <c r="O85" s="10" t="n"/>
      <c r="P85" s="10" t="n"/>
      <c r="Q85" s="10" t="n"/>
      <c r="R85" s="11" t="n"/>
      <c r="S85" s="11" t="n"/>
    </row>
    <row r="86" ht="50.1" customFormat="1" customHeight="1" s="6">
      <c r="A86" s="30" t="n"/>
      <c r="B86" s="31" t="n"/>
      <c r="C86" s="32" t="n"/>
      <c r="D86" s="30" t="n"/>
      <c r="E86" s="38" t="n"/>
      <c r="F86" s="38" t="n"/>
      <c r="G86" s="30" t="n"/>
      <c r="H86" s="30" t="n"/>
      <c r="I86" s="30" t="n"/>
      <c r="J86" s="30" t="n"/>
      <c r="K86" s="40" t="n"/>
      <c r="L86" s="40" t="n"/>
      <c r="M86" s="40" t="n"/>
      <c r="N86" s="10" t="n"/>
      <c r="O86" s="10" t="n"/>
      <c r="P86" s="10" t="n"/>
      <c r="Q86" s="10" t="n"/>
      <c r="R86" s="11" t="n"/>
      <c r="S86" s="11" t="n"/>
    </row>
    <row r="87" ht="50.1" customFormat="1" customHeight="1" s="6">
      <c r="A87" s="30" t="n"/>
      <c r="B87" s="31" t="n"/>
      <c r="C87" s="32" t="n"/>
      <c r="D87" s="30" t="n"/>
      <c r="E87" s="38" t="n"/>
      <c r="F87" s="38" t="n"/>
      <c r="G87" s="30" t="n"/>
      <c r="H87" s="30" t="n"/>
      <c r="I87" s="30" t="n"/>
      <c r="J87" s="30" t="n"/>
      <c r="K87" s="40" t="n"/>
      <c r="L87" s="40" t="n"/>
      <c r="M87" s="40" t="n"/>
      <c r="N87" s="10" t="n"/>
      <c r="O87" s="10" t="n"/>
      <c r="P87" s="10" t="n"/>
      <c r="Q87" s="10" t="n"/>
      <c r="R87" s="11" t="n"/>
      <c r="S87" s="11" t="n"/>
    </row>
    <row r="88" ht="50.1" customFormat="1" customHeight="1" s="6">
      <c r="A88" s="30" t="n"/>
      <c r="B88" s="31" t="n"/>
      <c r="C88" s="32" t="n"/>
      <c r="D88" s="30" t="n"/>
      <c r="E88" s="38" t="n"/>
      <c r="F88" s="38" t="n"/>
      <c r="G88" s="30" t="n"/>
      <c r="H88" s="30" t="n"/>
      <c r="I88" s="30" t="n"/>
      <c r="J88" s="30" t="n"/>
      <c r="K88" s="40" t="n"/>
      <c r="L88" s="40" t="n"/>
      <c r="M88" s="40" t="n"/>
      <c r="N88" s="10" t="n"/>
      <c r="O88" s="10" t="n"/>
      <c r="P88" s="10" t="n"/>
      <c r="Q88" s="10" t="n"/>
      <c r="R88" s="11" t="n"/>
      <c r="S88" s="11" t="n"/>
    </row>
    <row r="89" ht="50.1" customFormat="1" customHeight="1" s="6">
      <c r="A89" s="30" t="n"/>
      <c r="B89" s="31" t="n"/>
      <c r="C89" s="32" t="n"/>
      <c r="D89" s="30" t="n"/>
      <c r="E89" s="38" t="n"/>
      <c r="F89" s="38" t="n"/>
      <c r="G89" s="30" t="n"/>
      <c r="H89" s="30" t="n"/>
      <c r="I89" s="30" t="n"/>
      <c r="J89" s="30" t="n"/>
      <c r="K89" s="40" t="n"/>
      <c r="L89" s="40" t="n"/>
      <c r="M89" s="40" t="n"/>
      <c r="N89" s="10" t="n"/>
      <c r="O89" s="10" t="n"/>
      <c r="P89" s="10" t="n"/>
      <c r="Q89" s="10" t="n"/>
      <c r="R89" s="11" t="n"/>
      <c r="S89" s="11" t="n"/>
    </row>
    <row r="90" ht="50.1" customFormat="1" customHeight="1" s="6">
      <c r="A90" s="30" t="n"/>
      <c r="B90" s="31" t="n"/>
      <c r="C90" s="32" t="n"/>
      <c r="D90" s="30" t="n"/>
      <c r="E90" s="38" t="n"/>
      <c r="F90" s="38" t="n"/>
      <c r="G90" s="30" t="n"/>
      <c r="H90" s="30" t="n"/>
      <c r="I90" s="30" t="n"/>
      <c r="J90" s="30" t="n"/>
      <c r="K90" s="40" t="n"/>
      <c r="L90" s="40" t="n"/>
      <c r="M90" s="40" t="n"/>
      <c r="N90" s="10" t="n"/>
      <c r="O90" s="10" t="n"/>
      <c r="P90" s="10" t="n"/>
      <c r="Q90" s="10" t="n"/>
      <c r="R90" s="11" t="n"/>
      <c r="S90" s="11" t="n"/>
    </row>
    <row r="91" ht="50.1" customFormat="1" customHeight="1" s="6">
      <c r="A91" s="30" t="n"/>
      <c r="B91" s="31" t="n"/>
      <c r="C91" s="32" t="n"/>
      <c r="D91" s="30" t="n"/>
      <c r="E91" s="38" t="n"/>
      <c r="F91" s="38" t="n"/>
      <c r="G91" s="30" t="n"/>
      <c r="H91" s="30" t="n"/>
      <c r="I91" s="30" t="n"/>
      <c r="J91" s="30" t="n"/>
      <c r="K91" s="40" t="n"/>
      <c r="L91" s="40" t="n"/>
      <c r="M91" s="40" t="n"/>
      <c r="N91" s="10" t="n"/>
      <c r="O91" s="10" t="n"/>
      <c r="P91" s="10" t="n"/>
      <c r="Q91" s="10" t="n"/>
      <c r="R91" s="11" t="n"/>
      <c r="S91" s="11" t="n"/>
    </row>
    <row r="92" ht="50.1" customFormat="1" customHeight="1" s="6">
      <c r="A92" s="30" t="n"/>
      <c r="B92" s="31" t="n"/>
      <c r="C92" s="32" t="n"/>
      <c r="D92" s="30" t="n"/>
      <c r="E92" s="38" t="n"/>
      <c r="F92" s="38" t="n"/>
      <c r="G92" s="30" t="n"/>
      <c r="H92" s="30" t="n"/>
      <c r="I92" s="30" t="n"/>
      <c r="J92" s="30" t="n"/>
      <c r="K92" s="40" t="n"/>
      <c r="L92" s="40" t="n"/>
      <c r="M92" s="40" t="n"/>
      <c r="N92" s="10" t="n"/>
      <c r="O92" s="10" t="n"/>
      <c r="P92" s="10" t="n"/>
      <c r="Q92" s="10" t="n"/>
      <c r="R92" s="11" t="n"/>
      <c r="S92" s="11" t="n"/>
    </row>
    <row r="93" ht="50.1" customFormat="1" customHeight="1" s="6">
      <c r="A93" s="30" t="n"/>
      <c r="B93" s="31" t="n"/>
      <c r="C93" s="32" t="n"/>
      <c r="D93" s="30" t="n"/>
      <c r="E93" s="38" t="n"/>
      <c r="F93" s="38" t="n"/>
      <c r="G93" s="30" t="n"/>
      <c r="H93" s="30" t="n"/>
      <c r="I93" s="30" t="n"/>
      <c r="J93" s="30" t="n"/>
      <c r="K93" s="40" t="n"/>
      <c r="L93" s="40" t="n"/>
      <c r="M93" s="40" t="n"/>
      <c r="N93" s="10" t="n"/>
      <c r="O93" s="10" t="n"/>
      <c r="P93" s="10" t="n"/>
      <c r="Q93" s="10" t="n"/>
      <c r="R93" s="11" t="n"/>
      <c r="S93" s="11" t="n"/>
    </row>
    <row r="94" ht="50.1" customFormat="1" customHeight="1" s="6">
      <c r="A94" s="30" t="n"/>
      <c r="B94" s="31" t="n"/>
      <c r="C94" s="32" t="n"/>
      <c r="D94" s="30" t="n"/>
      <c r="E94" s="38" t="n"/>
      <c r="F94" s="38" t="n"/>
      <c r="G94" s="30" t="n"/>
      <c r="H94" s="30" t="n"/>
      <c r="I94" s="30" t="n"/>
      <c r="J94" s="30" t="n"/>
      <c r="K94" s="40" t="n"/>
      <c r="L94" s="40" t="n"/>
      <c r="M94" s="40" t="n"/>
      <c r="N94" s="10" t="n"/>
      <c r="O94" s="10" t="n"/>
      <c r="P94" s="10" t="n"/>
      <c r="Q94" s="10" t="n"/>
      <c r="R94" s="11" t="n"/>
      <c r="S94" s="11" t="n"/>
    </row>
    <row r="95" ht="50.1" customFormat="1" customHeight="1" s="6">
      <c r="A95" s="30" t="n"/>
      <c r="B95" s="31" t="n"/>
      <c r="C95" s="32" t="n"/>
      <c r="D95" s="30" t="n"/>
      <c r="E95" s="38" t="n"/>
      <c r="F95" s="38" t="n"/>
      <c r="G95" s="30" t="n"/>
      <c r="H95" s="30" t="n"/>
      <c r="I95" s="30" t="n"/>
      <c r="J95" s="30" t="n"/>
      <c r="K95" s="40" t="n"/>
      <c r="L95" s="40" t="n"/>
      <c r="M95" s="40" t="n"/>
      <c r="N95" s="10" t="n"/>
      <c r="O95" s="10" t="n"/>
      <c r="P95" s="10" t="n"/>
      <c r="Q95" s="10" t="n"/>
      <c r="R95" s="11" t="n"/>
      <c r="S95" s="11" t="n"/>
    </row>
    <row r="96" ht="50.1" customFormat="1" customHeight="1" s="6">
      <c r="A96" s="30" t="n"/>
      <c r="B96" s="31" t="n"/>
      <c r="C96" s="32" t="n"/>
      <c r="D96" s="30" t="n"/>
      <c r="E96" s="38" t="n"/>
      <c r="F96" s="38" t="n"/>
      <c r="G96" s="30" t="n"/>
      <c r="H96" s="30" t="n"/>
      <c r="I96" s="30" t="n"/>
      <c r="J96" s="30" t="n"/>
      <c r="K96" s="40" t="n"/>
      <c r="L96" s="40" t="n"/>
      <c r="M96" s="40" t="n"/>
      <c r="N96" s="10" t="n"/>
      <c r="O96" s="10" t="n"/>
      <c r="P96" s="10" t="n"/>
      <c r="Q96" s="10" t="n"/>
      <c r="R96" s="11" t="n"/>
      <c r="S96" s="11" t="n"/>
    </row>
    <row r="97" ht="50.1" customFormat="1" customHeight="1" s="6">
      <c r="A97" s="30" t="n"/>
      <c r="B97" s="31" t="n"/>
      <c r="C97" s="32" t="n"/>
      <c r="D97" s="30" t="n"/>
      <c r="E97" s="38" t="n"/>
      <c r="F97" s="38" t="n"/>
      <c r="G97" s="30" t="n"/>
      <c r="H97" s="30" t="n"/>
      <c r="I97" s="30" t="n"/>
      <c r="J97" s="30" t="n"/>
      <c r="K97" s="40" t="n"/>
      <c r="L97" s="40" t="n"/>
      <c r="M97" s="40" t="n"/>
      <c r="N97" s="10" t="n"/>
      <c r="O97" s="10" t="n"/>
      <c r="P97" s="10" t="n"/>
      <c r="Q97" s="10" t="n"/>
      <c r="R97" s="11" t="n"/>
      <c r="S97" s="11" t="n"/>
    </row>
    <row r="98" ht="50.1" customFormat="1" customHeight="1" s="6">
      <c r="A98" s="30" t="n"/>
      <c r="B98" s="31" t="n"/>
      <c r="C98" s="32" t="n"/>
      <c r="D98" s="30" t="n"/>
      <c r="E98" s="38" t="n"/>
      <c r="F98" s="38" t="n"/>
      <c r="G98" s="30" t="n"/>
      <c r="H98" s="30" t="n"/>
      <c r="I98" s="30" t="n"/>
      <c r="J98" s="30" t="n"/>
      <c r="K98" s="40" t="n"/>
      <c r="L98" s="40" t="n"/>
      <c r="M98" s="40" t="n"/>
      <c r="N98" s="10" t="n"/>
      <c r="O98" s="10" t="n"/>
      <c r="P98" s="10" t="n"/>
      <c r="Q98" s="10" t="n"/>
      <c r="R98" s="11" t="n"/>
      <c r="S98" s="11" t="n"/>
    </row>
    <row r="99" ht="50.1" customFormat="1" customHeight="1" s="6">
      <c r="A99" s="30" t="n"/>
      <c r="B99" s="31" t="n"/>
      <c r="C99" s="32" t="n"/>
      <c r="D99" s="30" t="n"/>
      <c r="E99" s="38" t="n"/>
      <c r="F99" s="38" t="n"/>
      <c r="G99" s="30" t="n"/>
      <c r="H99" s="30" t="n"/>
      <c r="I99" s="30" t="n"/>
      <c r="J99" s="30" t="n"/>
      <c r="K99" s="40" t="n"/>
      <c r="L99" s="40" t="n"/>
      <c r="M99" s="40" t="n"/>
      <c r="N99" s="10" t="n"/>
      <c r="O99" s="10" t="n"/>
      <c r="P99" s="10" t="n"/>
      <c r="Q99" s="10" t="n"/>
      <c r="R99" s="11" t="n"/>
      <c r="S99" s="11" t="n"/>
    </row>
    <row r="100" ht="50.1" customFormat="1" customHeight="1" s="6">
      <c r="A100" s="30" t="n"/>
      <c r="B100" s="31" t="n"/>
      <c r="C100" s="32" t="n"/>
      <c r="D100" s="30" t="n"/>
      <c r="E100" s="38" t="n"/>
      <c r="F100" s="38" t="n"/>
      <c r="G100" s="30" t="n"/>
      <c r="H100" s="30" t="n"/>
      <c r="I100" s="30" t="n"/>
      <c r="J100" s="30" t="n"/>
      <c r="K100" s="40" t="n"/>
      <c r="L100" s="40" t="n"/>
      <c r="M100" s="40" t="n"/>
      <c r="N100" s="10" t="n"/>
      <c r="O100" s="10" t="n"/>
      <c r="P100" s="10" t="n"/>
      <c r="Q100" s="10" t="n"/>
      <c r="R100" s="11" t="n"/>
      <c r="S100" s="11" t="n"/>
    </row>
    <row r="101" ht="50.1" customFormat="1" customHeight="1" s="6">
      <c r="A101" s="30" t="n"/>
      <c r="B101" s="31" t="n"/>
      <c r="C101" s="32" t="n"/>
      <c r="D101" s="30" t="n"/>
      <c r="E101" s="38" t="n"/>
      <c r="F101" s="38" t="n"/>
      <c r="G101" s="30" t="n"/>
      <c r="H101" s="30" t="n"/>
      <c r="I101" s="30" t="n"/>
      <c r="J101" s="30" t="n"/>
      <c r="K101" s="40" t="n"/>
      <c r="L101" s="40" t="n"/>
      <c r="M101" s="40" t="n"/>
      <c r="N101" s="10" t="n"/>
      <c r="O101" s="10" t="n"/>
      <c r="P101" s="10" t="n"/>
      <c r="Q101" s="10" t="n"/>
      <c r="R101" s="11" t="n"/>
      <c r="S101" s="11" t="n"/>
    </row>
    <row r="102" ht="50.1" customFormat="1" customHeight="1" s="6">
      <c r="A102" s="30" t="n"/>
      <c r="B102" s="31" t="n"/>
      <c r="C102" s="32" t="n"/>
      <c r="D102" s="30" t="n"/>
      <c r="E102" s="38" t="n"/>
      <c r="F102" s="38" t="n"/>
      <c r="G102" s="30" t="n"/>
      <c r="H102" s="30" t="n"/>
      <c r="I102" s="30" t="n"/>
      <c r="J102" s="30" t="n"/>
      <c r="K102" s="40" t="n"/>
      <c r="L102" s="40" t="n"/>
      <c r="M102" s="40" t="n"/>
      <c r="N102" s="10" t="n"/>
      <c r="O102" s="10" t="n"/>
      <c r="P102" s="10" t="n"/>
      <c r="Q102" s="10" t="n"/>
      <c r="R102" s="11" t="n"/>
      <c r="S102" s="11" t="n"/>
    </row>
    <row r="103" ht="50.1" customFormat="1" customHeight="1" s="6">
      <c r="A103" s="30" t="n"/>
      <c r="B103" s="31" t="n"/>
      <c r="C103" s="32" t="n"/>
      <c r="D103" s="30" t="n"/>
      <c r="E103" s="38" t="n"/>
      <c r="F103" s="38" t="n"/>
      <c r="G103" s="30" t="n"/>
      <c r="H103" s="30" t="n"/>
      <c r="I103" s="30" t="n"/>
      <c r="J103" s="30" t="n"/>
      <c r="K103" s="40" t="n"/>
      <c r="L103" s="40" t="n"/>
      <c r="M103" s="40" t="n"/>
      <c r="N103" s="10" t="n"/>
      <c r="O103" s="10" t="n"/>
      <c r="P103" s="10" t="n"/>
      <c r="Q103" s="10" t="n"/>
      <c r="R103" s="11" t="n"/>
      <c r="S103" s="11" t="n"/>
    </row>
    <row r="104" ht="50.1" customFormat="1" customHeight="1" s="6">
      <c r="A104" s="30" t="n"/>
      <c r="B104" s="31" t="n"/>
      <c r="C104" s="32" t="n"/>
      <c r="D104" s="30" t="n"/>
      <c r="E104" s="38" t="n"/>
      <c r="F104" s="38" t="n"/>
      <c r="G104" s="30" t="n"/>
      <c r="H104" s="30" t="n"/>
      <c r="I104" s="30" t="n"/>
      <c r="J104" s="30" t="n"/>
      <c r="K104" s="40" t="n"/>
      <c r="L104" s="40" t="n"/>
      <c r="M104" s="40" t="n"/>
      <c r="N104" s="10" t="n"/>
      <c r="O104" s="10" t="n"/>
      <c r="P104" s="10" t="n"/>
      <c r="Q104" s="10" t="n"/>
      <c r="R104" s="11" t="n"/>
      <c r="S104" s="11" t="n"/>
    </row>
    <row r="105" ht="50.1" customFormat="1" customHeight="1" s="6">
      <c r="A105" s="30" t="n"/>
      <c r="B105" s="31" t="n"/>
      <c r="C105" s="32" t="n"/>
      <c r="D105" s="30" t="n"/>
      <c r="E105" s="38" t="n"/>
      <c r="F105" s="38" t="n"/>
      <c r="G105" s="30" t="n"/>
      <c r="H105" s="30" t="n"/>
      <c r="I105" s="30" t="n"/>
      <c r="J105" s="30" t="n"/>
      <c r="K105" s="40" t="n"/>
      <c r="L105" s="40" t="n"/>
      <c r="M105" s="40" t="n"/>
      <c r="N105" s="10" t="n"/>
      <c r="O105" s="10" t="n"/>
      <c r="P105" s="10" t="n"/>
      <c r="Q105" s="10" t="n"/>
      <c r="R105" s="11" t="n"/>
      <c r="S105" s="11" t="n"/>
    </row>
    <row r="106" ht="50.1" customFormat="1" customHeight="1" s="6">
      <c r="A106" s="30" t="n"/>
      <c r="B106" s="31" t="n"/>
      <c r="C106" s="32" t="n"/>
      <c r="D106" s="30" t="n"/>
      <c r="E106" s="38" t="n"/>
      <c r="F106" s="38" t="n"/>
      <c r="G106" s="30" t="n"/>
      <c r="H106" s="30" t="n"/>
      <c r="I106" s="30" t="n"/>
      <c r="J106" s="30" t="n"/>
      <c r="K106" s="40" t="n"/>
      <c r="L106" s="40" t="n"/>
      <c r="M106" s="40" t="n"/>
      <c r="N106" s="10" t="n"/>
      <c r="O106" s="10" t="n"/>
      <c r="P106" s="10" t="n"/>
      <c r="Q106" s="10" t="n"/>
      <c r="R106" s="11" t="n"/>
      <c r="S106" s="11" t="n"/>
    </row>
    <row r="107" ht="50.1" customFormat="1" customHeight="1" s="6">
      <c r="A107" s="30" t="n"/>
      <c r="B107" s="31" t="n"/>
      <c r="C107" s="32" t="n"/>
      <c r="D107" s="30" t="n"/>
      <c r="E107" s="38" t="n"/>
      <c r="F107" s="38" t="n"/>
      <c r="G107" s="30" t="n"/>
      <c r="H107" s="30" t="n"/>
      <c r="I107" s="30" t="n"/>
      <c r="J107" s="30" t="n"/>
      <c r="K107" s="40" t="n"/>
      <c r="L107" s="40" t="n"/>
      <c r="M107" s="40" t="n"/>
      <c r="N107" s="10" t="n"/>
      <c r="O107" s="10" t="n"/>
      <c r="P107" s="10" t="n"/>
      <c r="Q107" s="10" t="n"/>
      <c r="R107" s="11" t="n"/>
      <c r="S107" s="11" t="n"/>
    </row>
    <row r="108" ht="50.1" customFormat="1" customHeight="1" s="6">
      <c r="A108" s="30" t="n"/>
      <c r="B108" s="31" t="n"/>
      <c r="C108" s="32" t="n"/>
      <c r="D108" s="30" t="n"/>
      <c r="E108" s="38" t="n"/>
      <c r="F108" s="38" t="n"/>
      <c r="G108" s="30" t="n"/>
      <c r="H108" s="30" t="n"/>
      <c r="I108" s="30" t="n"/>
      <c r="J108" s="30" t="n"/>
      <c r="K108" s="40" t="n"/>
      <c r="L108" s="40" t="n"/>
      <c r="M108" s="40" t="n"/>
      <c r="N108" s="10" t="n"/>
      <c r="O108" s="10" t="n"/>
      <c r="P108" s="10" t="n"/>
      <c r="Q108" s="10" t="n"/>
      <c r="R108" s="11" t="n"/>
      <c r="S108" s="11" t="n"/>
    </row>
    <row r="109" ht="50.1" customFormat="1" customHeight="1" s="6">
      <c r="A109" s="30" t="n"/>
      <c r="B109" s="31" t="n"/>
      <c r="C109" s="32" t="n"/>
      <c r="D109" s="30" t="n"/>
      <c r="E109" s="38" t="n"/>
      <c r="F109" s="38" t="n"/>
      <c r="G109" s="30" t="n"/>
      <c r="H109" s="30" t="n"/>
      <c r="I109" s="30" t="n"/>
      <c r="J109" s="30" t="n"/>
      <c r="K109" s="40" t="n"/>
      <c r="L109" s="40" t="n"/>
      <c r="M109" s="40" t="n"/>
      <c r="N109" s="10" t="n"/>
      <c r="O109" s="10" t="n"/>
      <c r="P109" s="10" t="n"/>
      <c r="Q109" s="10" t="n"/>
      <c r="R109" s="11" t="n"/>
      <c r="S109" s="11" t="n"/>
    </row>
    <row r="110" ht="50.1" customFormat="1" customHeight="1" s="6">
      <c r="A110" s="30" t="n"/>
      <c r="B110" s="31" t="n"/>
      <c r="C110" s="32" t="n"/>
      <c r="D110" s="30" t="n"/>
      <c r="E110" s="38" t="n"/>
      <c r="F110" s="38" t="n"/>
      <c r="G110" s="30" t="n"/>
      <c r="H110" s="30" t="n"/>
      <c r="I110" s="30" t="n"/>
      <c r="J110" s="30" t="n"/>
      <c r="K110" s="40" t="n"/>
      <c r="L110" s="40" t="n"/>
      <c r="M110" s="40" t="n"/>
      <c r="N110" s="10" t="n"/>
      <c r="O110" s="10" t="n"/>
      <c r="P110" s="10" t="n"/>
      <c r="Q110" s="10" t="n"/>
      <c r="R110" s="11" t="n"/>
      <c r="S110" s="11" t="n"/>
    </row>
    <row r="111" ht="50.1" customFormat="1" customHeight="1" s="6">
      <c r="A111" s="30" t="n"/>
      <c r="B111" s="31" t="n"/>
      <c r="C111" s="32" t="n"/>
      <c r="D111" s="30" t="n"/>
      <c r="E111" s="38" t="n"/>
      <c r="F111" s="38" t="n"/>
      <c r="G111" s="30" t="n"/>
      <c r="H111" s="30" t="n"/>
      <c r="I111" s="30" t="n"/>
      <c r="J111" s="30" t="n"/>
      <c r="K111" s="40" t="n"/>
      <c r="L111" s="40" t="n"/>
      <c r="M111" s="40" t="n"/>
      <c r="N111" s="10" t="n"/>
      <c r="O111" s="10" t="n"/>
      <c r="P111" s="10" t="n"/>
      <c r="Q111" s="10" t="n"/>
      <c r="R111" s="11" t="n"/>
      <c r="S111" s="11" t="n"/>
    </row>
    <row r="112" ht="50.1" customFormat="1" customHeight="1" s="6">
      <c r="A112" s="30" t="n"/>
      <c r="B112" s="31" t="n"/>
      <c r="C112" s="32" t="n"/>
      <c r="D112" s="30" t="n"/>
      <c r="E112" s="38" t="n"/>
      <c r="F112" s="38" t="n"/>
      <c r="G112" s="30" t="n"/>
      <c r="H112" s="30" t="n"/>
      <c r="I112" s="30" t="n"/>
      <c r="J112" s="30" t="n"/>
      <c r="K112" s="40" t="n"/>
      <c r="L112" s="40" t="n"/>
      <c r="M112" s="40" t="n"/>
      <c r="N112" s="10" t="n"/>
      <c r="O112" s="10" t="n"/>
      <c r="P112" s="10" t="n"/>
      <c r="Q112" s="10" t="n"/>
      <c r="R112" s="11" t="n"/>
      <c r="S112" s="11" t="n"/>
    </row>
    <row r="113" ht="50.1" customFormat="1" customHeight="1" s="6">
      <c r="A113" s="30" t="n"/>
      <c r="B113" s="31" t="n"/>
      <c r="C113" s="32" t="n"/>
      <c r="D113" s="30" t="n"/>
      <c r="E113" s="38" t="n"/>
      <c r="F113" s="38" t="n"/>
      <c r="G113" s="30" t="n"/>
      <c r="H113" s="30" t="n"/>
      <c r="I113" s="30" t="n"/>
      <c r="J113" s="30" t="n"/>
      <c r="K113" s="40" t="n"/>
      <c r="L113" s="40" t="n"/>
      <c r="M113" s="40" t="n"/>
      <c r="N113" s="10" t="n"/>
      <c r="O113" s="10" t="n"/>
      <c r="P113" s="10" t="n"/>
      <c r="Q113" s="10" t="n"/>
      <c r="R113" s="11" t="n"/>
      <c r="S113" s="11" t="n"/>
    </row>
    <row r="114" ht="50.1" customFormat="1" customHeight="1" s="6">
      <c r="A114" s="30" t="n"/>
      <c r="B114" s="31" t="n"/>
      <c r="C114" s="32" t="n"/>
      <c r="D114" s="30" t="n"/>
      <c r="E114" s="38" t="n"/>
      <c r="F114" s="38" t="n"/>
      <c r="G114" s="30" t="n"/>
      <c r="H114" s="30" t="n"/>
      <c r="I114" s="30" t="n"/>
      <c r="J114" s="30" t="n"/>
      <c r="K114" s="40" t="n"/>
      <c r="L114" s="40" t="n"/>
      <c r="M114" s="40" t="n"/>
      <c r="N114" s="10" t="n"/>
      <c r="O114" s="10" t="n"/>
      <c r="P114" s="10" t="n"/>
      <c r="Q114" s="10" t="n"/>
      <c r="R114" s="11" t="n"/>
      <c r="S114" s="11" t="n"/>
    </row>
    <row r="115" ht="50.1" customFormat="1" customHeight="1" s="6">
      <c r="A115" s="30" t="n"/>
      <c r="B115" s="31" t="n"/>
      <c r="C115" s="32" t="n"/>
      <c r="D115" s="30" t="n"/>
      <c r="E115" s="38" t="n"/>
      <c r="F115" s="38" t="n"/>
      <c r="G115" s="30" t="n"/>
      <c r="H115" s="30" t="n"/>
      <c r="I115" s="30" t="n"/>
      <c r="J115" s="30" t="n"/>
      <c r="K115" s="40" t="n"/>
      <c r="L115" s="40" t="n"/>
      <c r="M115" s="40" t="n"/>
      <c r="N115" s="10" t="n"/>
      <c r="O115" s="10" t="n"/>
      <c r="P115" s="10" t="n"/>
      <c r="Q115" s="10" t="n"/>
      <c r="R115" s="11" t="n"/>
      <c r="S115" s="11" t="n"/>
    </row>
    <row r="116" ht="50.1" customFormat="1" customHeight="1" s="6">
      <c r="A116" s="30" t="n"/>
      <c r="B116" s="31" t="n"/>
      <c r="C116" s="32" t="n"/>
      <c r="D116" s="30" t="n"/>
      <c r="E116" s="38" t="n"/>
      <c r="F116" s="38" t="n"/>
      <c r="G116" s="30" t="n"/>
      <c r="H116" s="30" t="n"/>
      <c r="I116" s="30" t="n"/>
      <c r="J116" s="30" t="n"/>
      <c r="K116" s="40" t="n"/>
      <c r="L116" s="40" t="n"/>
      <c r="M116" s="40" t="n"/>
      <c r="N116" s="10" t="n"/>
      <c r="O116" s="10" t="n"/>
      <c r="P116" s="10" t="n"/>
      <c r="Q116" s="10" t="n"/>
      <c r="R116" s="11" t="n"/>
      <c r="S116" s="11" t="n"/>
    </row>
    <row r="117" ht="50.1" customFormat="1" customHeight="1" s="6">
      <c r="A117" s="30" t="n"/>
      <c r="B117" s="31" t="n"/>
      <c r="C117" s="32" t="n"/>
      <c r="D117" s="30" t="n"/>
      <c r="E117" s="38" t="n"/>
      <c r="F117" s="38" t="n"/>
      <c r="G117" s="30" t="n"/>
      <c r="H117" s="30" t="n"/>
      <c r="I117" s="30" t="n"/>
      <c r="J117" s="30" t="n"/>
      <c r="K117" s="40" t="n"/>
      <c r="L117" s="40" t="n"/>
      <c r="M117" s="40" t="n"/>
      <c r="N117" s="10" t="n"/>
      <c r="O117" s="10" t="n"/>
      <c r="P117" s="10" t="n"/>
      <c r="Q117" s="10" t="n"/>
      <c r="R117" s="11" t="n"/>
      <c r="S117" s="11" t="n"/>
    </row>
    <row r="118" ht="50.1" customFormat="1" customHeight="1" s="6">
      <c r="A118" s="30" t="n"/>
      <c r="B118" s="31" t="n"/>
      <c r="C118" s="32" t="n"/>
      <c r="D118" s="30" t="n"/>
      <c r="E118" s="38" t="n"/>
      <c r="F118" s="38" t="n"/>
      <c r="G118" s="30" t="n"/>
      <c r="H118" s="30" t="n"/>
      <c r="I118" s="30" t="n"/>
      <c r="J118" s="30" t="n"/>
      <c r="K118" s="40" t="n"/>
      <c r="L118" s="40" t="n"/>
      <c r="M118" s="40" t="n"/>
      <c r="N118" s="10" t="n"/>
      <c r="O118" s="10" t="n"/>
      <c r="P118" s="10" t="n"/>
      <c r="Q118" s="10" t="n"/>
      <c r="R118" s="11" t="n"/>
      <c r="S118" s="11" t="n"/>
    </row>
    <row r="119" ht="50.1" customFormat="1" customHeight="1" s="6">
      <c r="A119" s="30" t="n"/>
      <c r="B119" s="31" t="n"/>
      <c r="C119" s="32" t="n"/>
      <c r="D119" s="30" t="n"/>
      <c r="E119" s="38" t="n"/>
      <c r="F119" s="38" t="n"/>
      <c r="G119" s="30" t="n"/>
      <c r="H119" s="30" t="n"/>
      <c r="I119" s="30" t="n"/>
      <c r="J119" s="30" t="n"/>
      <c r="K119" s="40" t="n"/>
      <c r="L119" s="40" t="n"/>
      <c r="M119" s="40" t="n"/>
      <c r="N119" s="10" t="n"/>
      <c r="O119" s="10" t="n"/>
      <c r="P119" s="10" t="n"/>
      <c r="Q119" s="10" t="n"/>
      <c r="R119" s="11" t="n"/>
      <c r="S119" s="11" t="n"/>
    </row>
    <row r="120" ht="50.1" customFormat="1" customHeight="1" s="6">
      <c r="A120" s="30" t="n"/>
      <c r="B120" s="31" t="n"/>
      <c r="C120" s="32" t="n"/>
      <c r="D120" s="30" t="n"/>
      <c r="E120" s="38" t="n"/>
      <c r="F120" s="38" t="n"/>
      <c r="G120" s="30" t="n"/>
      <c r="H120" s="30" t="n"/>
      <c r="I120" s="30" t="n"/>
      <c r="J120" s="30" t="n"/>
      <c r="K120" s="40" t="n"/>
      <c r="L120" s="40" t="n"/>
      <c r="M120" s="40" t="n"/>
      <c r="N120" s="10" t="n"/>
      <c r="O120" s="10" t="n"/>
      <c r="P120" s="10" t="n"/>
      <c r="Q120" s="10" t="n"/>
      <c r="R120" s="11" t="n"/>
      <c r="S120" s="11" t="n"/>
    </row>
    <row r="121" ht="50.1" customFormat="1" customHeight="1" s="6">
      <c r="A121" s="30" t="n"/>
      <c r="B121" s="31" t="n"/>
      <c r="C121" s="32" t="n"/>
      <c r="D121" s="30" t="n"/>
      <c r="E121" s="38" t="n"/>
      <c r="F121" s="38" t="n"/>
      <c r="G121" s="30" t="n"/>
      <c r="H121" s="30" t="n"/>
      <c r="I121" s="30" t="n"/>
      <c r="J121" s="30" t="n"/>
      <c r="K121" s="40" t="n"/>
      <c r="L121" s="40" t="n"/>
      <c r="M121" s="40" t="n"/>
      <c r="N121" s="10" t="n"/>
      <c r="O121" s="10" t="n"/>
      <c r="P121" s="10" t="n"/>
      <c r="Q121" s="10" t="n"/>
      <c r="R121" s="11" t="n"/>
      <c r="S121" s="11" t="n"/>
    </row>
    <row r="122" ht="50.1" customFormat="1" customHeight="1" s="6">
      <c r="A122" s="30" t="n"/>
      <c r="B122" s="31" t="n"/>
      <c r="C122" s="32" t="n"/>
      <c r="D122" s="30" t="n"/>
      <c r="E122" s="38" t="n"/>
      <c r="F122" s="38" t="n"/>
      <c r="G122" s="30" t="n"/>
      <c r="H122" s="30" t="n"/>
      <c r="I122" s="30" t="n"/>
      <c r="J122" s="30" t="n"/>
      <c r="K122" s="40" t="n"/>
      <c r="L122" s="40" t="n"/>
      <c r="M122" s="40" t="n"/>
      <c r="N122" s="10" t="n"/>
      <c r="O122" s="10" t="n"/>
      <c r="P122" s="10" t="n"/>
      <c r="Q122" s="10" t="n"/>
      <c r="R122" s="11" t="n"/>
      <c r="S122" s="11" t="n"/>
    </row>
    <row r="123" ht="50.1" customFormat="1" customHeight="1" s="6">
      <c r="A123" s="30" t="n"/>
      <c r="B123" s="31" t="n"/>
      <c r="C123" s="32" t="n"/>
      <c r="D123" s="30" t="n"/>
      <c r="E123" s="38" t="n"/>
      <c r="F123" s="38" t="n"/>
      <c r="G123" s="30" t="n"/>
      <c r="H123" s="30" t="n"/>
      <c r="I123" s="30" t="n"/>
      <c r="J123" s="30" t="n"/>
      <c r="K123" s="40" t="n"/>
      <c r="L123" s="40" t="n"/>
      <c r="M123" s="40" t="n"/>
      <c r="N123" s="10" t="n"/>
      <c r="O123" s="10" t="n"/>
      <c r="P123" s="10" t="n"/>
      <c r="Q123" s="10" t="n"/>
      <c r="R123" s="11" t="n"/>
      <c r="S123" s="11" t="n"/>
    </row>
    <row r="124" ht="50.1" customFormat="1" customHeight="1" s="6">
      <c r="A124" s="30" t="n"/>
      <c r="B124" s="31" t="n"/>
      <c r="C124" s="32" t="n"/>
      <c r="D124" s="30" t="n"/>
      <c r="E124" s="38" t="n"/>
      <c r="F124" s="38" t="n"/>
      <c r="G124" s="30" t="n"/>
      <c r="H124" s="30" t="n"/>
      <c r="I124" s="30" t="n"/>
      <c r="J124" s="30" t="n"/>
      <c r="K124" s="40" t="n"/>
      <c r="L124" s="40" t="n"/>
      <c r="M124" s="40" t="n"/>
      <c r="N124" s="10" t="n"/>
      <c r="O124" s="10" t="n"/>
      <c r="P124" s="10" t="n"/>
      <c r="Q124" s="10" t="n"/>
      <c r="R124" s="11" t="n"/>
      <c r="S124" s="11" t="n"/>
    </row>
    <row r="125" ht="50.1" customFormat="1" customHeight="1" s="6">
      <c r="A125" s="30" t="n"/>
      <c r="B125" s="31" t="n"/>
      <c r="C125" s="32" t="n"/>
      <c r="D125" s="30" t="n"/>
      <c r="E125" s="38" t="n"/>
      <c r="F125" s="38" t="n"/>
      <c r="G125" s="30" t="n"/>
      <c r="H125" s="30" t="n"/>
      <c r="I125" s="30" t="n"/>
      <c r="J125" s="30" t="n"/>
      <c r="K125" s="40" t="n"/>
      <c r="L125" s="40" t="n"/>
      <c r="M125" s="40" t="n"/>
      <c r="N125" s="10" t="n"/>
      <c r="O125" s="10" t="n"/>
      <c r="P125" s="10" t="n"/>
      <c r="Q125" s="10" t="n"/>
      <c r="R125" s="11" t="n"/>
      <c r="S125" s="11" t="n"/>
    </row>
    <row r="126" ht="50.1" customFormat="1" customHeight="1" s="6">
      <c r="A126" s="30" t="n"/>
      <c r="B126" s="31" t="n"/>
      <c r="C126" s="32" t="n"/>
      <c r="D126" s="30" t="n"/>
      <c r="E126" s="38" t="n"/>
      <c r="F126" s="38" t="n"/>
      <c r="G126" s="30" t="n"/>
      <c r="H126" s="30" t="n"/>
      <c r="I126" s="30" t="n"/>
      <c r="J126" s="30" t="n"/>
      <c r="K126" s="40" t="n"/>
      <c r="L126" s="40" t="n"/>
      <c r="M126" s="40" t="n"/>
      <c r="N126" s="10" t="n"/>
      <c r="O126" s="10" t="n"/>
      <c r="P126" s="10" t="n"/>
      <c r="Q126" s="10" t="n"/>
      <c r="R126" s="11" t="n"/>
      <c r="S126" s="11" t="n"/>
    </row>
    <row r="127" ht="50.1" customFormat="1" customHeight="1" s="6">
      <c r="A127" s="30" t="n"/>
      <c r="B127" s="31" t="n"/>
      <c r="C127" s="32" t="n"/>
      <c r="D127" s="30" t="n"/>
      <c r="E127" s="38" t="n"/>
      <c r="F127" s="38" t="n"/>
      <c r="G127" s="30" t="n"/>
      <c r="H127" s="30" t="n"/>
      <c r="I127" s="30" t="n"/>
      <c r="J127" s="30" t="n"/>
      <c r="K127" s="40" t="n"/>
      <c r="L127" s="40" t="n"/>
      <c r="M127" s="40" t="n"/>
      <c r="N127" s="10" t="n"/>
      <c r="O127" s="10" t="n"/>
      <c r="P127" s="10" t="n"/>
      <c r="Q127" s="10" t="n"/>
      <c r="R127" s="11" t="n"/>
      <c r="S127" s="11" t="n"/>
    </row>
    <row r="128" ht="50.1" customFormat="1" customHeight="1" s="6">
      <c r="A128" s="30" t="n"/>
      <c r="B128" s="31" t="n"/>
      <c r="C128" s="32" t="n"/>
      <c r="D128" s="30" t="n"/>
      <c r="E128" s="38" t="n"/>
      <c r="F128" s="38" t="n"/>
      <c r="G128" s="30" t="n"/>
      <c r="H128" s="30" t="n"/>
      <c r="I128" s="30" t="n"/>
      <c r="J128" s="30" t="n"/>
      <c r="K128" s="40" t="n"/>
      <c r="L128" s="40" t="n"/>
      <c r="M128" s="40" t="n"/>
      <c r="N128" s="10" t="n"/>
      <c r="O128" s="10" t="n"/>
      <c r="P128" s="10" t="n"/>
      <c r="Q128" s="10" t="n"/>
      <c r="R128" s="11" t="n"/>
      <c r="S128" s="11" t="n"/>
    </row>
    <row r="129" ht="50.1" customFormat="1" customHeight="1" s="6">
      <c r="A129" s="30" t="n"/>
      <c r="B129" s="31" t="n"/>
      <c r="C129" s="32" t="n"/>
      <c r="D129" s="30" t="n"/>
      <c r="E129" s="38" t="n"/>
      <c r="F129" s="38" t="n"/>
      <c r="G129" s="30" t="n"/>
      <c r="H129" s="30" t="n"/>
      <c r="I129" s="30" t="n"/>
      <c r="J129" s="30" t="n"/>
      <c r="K129" s="40" t="n"/>
      <c r="L129" s="40" t="n"/>
      <c r="M129" s="40" t="n"/>
      <c r="N129" s="10" t="n"/>
      <c r="O129" s="10" t="n"/>
      <c r="P129" s="10" t="n"/>
      <c r="Q129" s="10" t="n"/>
      <c r="R129" s="11" t="n"/>
      <c r="S129" s="11" t="n"/>
    </row>
    <row r="130" ht="50.1" customFormat="1" customHeight="1" s="6">
      <c r="A130" s="30" t="n"/>
      <c r="B130" s="31" t="n"/>
      <c r="C130" s="32" t="n"/>
      <c r="D130" s="30" t="n"/>
      <c r="E130" s="38" t="n"/>
      <c r="F130" s="38" t="n"/>
      <c r="G130" s="30" t="n"/>
      <c r="H130" s="30" t="n"/>
      <c r="I130" s="30" t="n"/>
      <c r="J130" s="30" t="n"/>
      <c r="K130" s="40" t="n"/>
      <c r="L130" s="40" t="n"/>
      <c r="M130" s="40" t="n"/>
      <c r="N130" s="10" t="n"/>
      <c r="O130" s="10" t="n"/>
      <c r="P130" s="10" t="n"/>
      <c r="Q130" s="10" t="n"/>
      <c r="R130" s="11" t="n"/>
      <c r="S130" s="11" t="n"/>
    </row>
    <row r="131" ht="50.1" customFormat="1" customHeight="1" s="6">
      <c r="A131" s="30" t="n"/>
      <c r="B131" s="31" t="n"/>
      <c r="C131" s="32" t="n"/>
      <c r="D131" s="30" t="n"/>
      <c r="E131" s="38" t="n"/>
      <c r="F131" s="38" t="n"/>
      <c r="G131" s="30" t="n"/>
      <c r="H131" s="30" t="n"/>
      <c r="I131" s="30" t="n"/>
      <c r="J131" s="30" t="n"/>
      <c r="K131" s="40" t="n"/>
      <c r="L131" s="40" t="n"/>
      <c r="M131" s="40" t="n"/>
      <c r="N131" s="10" t="n"/>
      <c r="O131" s="10" t="n"/>
      <c r="P131" s="10" t="n"/>
      <c r="Q131" s="10" t="n"/>
      <c r="R131" s="11" t="n"/>
      <c r="S131" s="11" t="n"/>
    </row>
    <row r="132" ht="50.1" customFormat="1" customHeight="1" s="6">
      <c r="A132" s="30" t="n"/>
      <c r="B132" s="31" t="n"/>
      <c r="C132" s="32" t="n"/>
      <c r="D132" s="30" t="n"/>
      <c r="E132" s="38" t="n"/>
      <c r="F132" s="38" t="n"/>
      <c r="G132" s="30" t="n"/>
      <c r="H132" s="30" t="n"/>
      <c r="I132" s="30" t="n"/>
      <c r="J132" s="30" t="n"/>
      <c r="K132" s="40" t="n"/>
      <c r="L132" s="40" t="n"/>
      <c r="M132" s="40" t="n"/>
      <c r="N132" s="10" t="n"/>
      <c r="O132" s="10" t="n"/>
      <c r="P132" s="10" t="n"/>
      <c r="Q132" s="10" t="n"/>
      <c r="R132" s="11" t="n"/>
      <c r="S132" s="11" t="n"/>
    </row>
    <row r="133" ht="50.1" customFormat="1" customHeight="1" s="6">
      <c r="A133" s="27" t="n"/>
      <c r="B133" s="28" t="n"/>
      <c r="C133" s="29" t="n"/>
      <c r="D133" s="27" t="n"/>
      <c r="E133" s="42" t="n"/>
      <c r="F133" s="42" t="n"/>
      <c r="G133" s="27" t="n"/>
      <c r="H133" s="27" t="n"/>
      <c r="I133" s="27" t="n"/>
      <c r="J133" s="27" t="n"/>
      <c r="K133" s="43" t="n"/>
      <c r="L133" s="43" t="n"/>
      <c r="M133" s="43" t="n"/>
      <c r="N133" s="10" t="n"/>
      <c r="O133" s="10" t="n"/>
      <c r="P133" s="10" t="n"/>
      <c r="Q133" s="10" t="n"/>
      <c r="R133" s="11" t="n"/>
      <c r="S133" s="11" t="n"/>
    </row>
    <row r="134" ht="50.1" customFormat="1" customHeight="1" s="6">
      <c r="A134" s="27" t="n"/>
      <c r="B134" s="28" t="n"/>
      <c r="C134" s="29" t="n"/>
      <c r="D134" s="27" t="n"/>
      <c r="E134" s="42" t="n"/>
      <c r="F134" s="42" t="n"/>
      <c r="G134" s="27" t="n"/>
      <c r="H134" s="27" t="n"/>
      <c r="I134" s="27" t="n"/>
      <c r="J134" s="27" t="n"/>
      <c r="K134" s="43" t="n"/>
      <c r="L134" s="43" t="n"/>
      <c r="M134" s="43" t="n"/>
      <c r="N134" s="10" t="n"/>
      <c r="O134" s="10" t="n"/>
      <c r="P134" s="10" t="n"/>
      <c r="Q134" s="10" t="n"/>
      <c r="R134" s="11" t="n"/>
      <c r="S134" s="11" t="n"/>
    </row>
    <row r="135" ht="50.1" customFormat="1" customHeight="1" s="6">
      <c r="A135" s="27" t="n"/>
      <c r="B135" s="28" t="n"/>
      <c r="C135" s="29" t="n"/>
      <c r="D135" s="27" t="n"/>
      <c r="E135" s="42" t="n"/>
      <c r="F135" s="42" t="n"/>
      <c r="G135" s="27" t="n"/>
      <c r="H135" s="27" t="n"/>
      <c r="I135" s="27" t="n"/>
      <c r="J135" s="27" t="n"/>
      <c r="K135" s="43" t="n"/>
      <c r="L135" s="43" t="n"/>
      <c r="M135" s="43" t="n"/>
      <c r="N135" s="10" t="n"/>
      <c r="O135" s="10" t="n"/>
      <c r="P135" s="10" t="n"/>
      <c r="Q135" s="10" t="n"/>
      <c r="R135" s="11" t="n"/>
      <c r="S135" s="11" t="n"/>
    </row>
    <row r="136" ht="50.1" customFormat="1" customHeight="1" s="6">
      <c r="A136" s="27" t="n"/>
      <c r="B136" s="28" t="n"/>
      <c r="C136" s="29" t="n"/>
      <c r="D136" s="27" t="n"/>
      <c r="E136" s="42" t="n"/>
      <c r="F136" s="42" t="n"/>
      <c r="G136" s="27" t="n"/>
      <c r="H136" s="27" t="n"/>
      <c r="I136" s="27" t="n"/>
      <c r="J136" s="27" t="n"/>
      <c r="K136" s="43" t="n"/>
      <c r="L136" s="43" t="n"/>
      <c r="M136" s="43" t="n"/>
      <c r="N136" s="10" t="n"/>
      <c r="O136" s="10" t="n"/>
      <c r="P136" s="10" t="n"/>
      <c r="Q136" s="10" t="n"/>
      <c r="R136" s="11" t="n"/>
      <c r="S136" s="11" t="n"/>
    </row>
    <row r="137" ht="50.1" customFormat="1" customHeight="1" s="6">
      <c r="A137" s="27" t="n"/>
      <c r="B137" s="28" t="n"/>
      <c r="C137" s="29" t="n"/>
      <c r="D137" s="27" t="n"/>
      <c r="E137" s="42" t="n"/>
      <c r="F137" s="42" t="n"/>
      <c r="G137" s="27" t="n"/>
      <c r="H137" s="27" t="n"/>
      <c r="I137" s="27" t="n"/>
      <c r="J137" s="27" t="n"/>
      <c r="K137" s="43" t="n"/>
      <c r="L137" s="43" t="n"/>
      <c r="M137" s="43" t="n"/>
      <c r="N137" s="10" t="n"/>
      <c r="O137" s="10" t="n"/>
      <c r="P137" s="10" t="n"/>
      <c r="Q137" s="10" t="n"/>
      <c r="R137" s="11" t="n"/>
      <c r="S137" s="11" t="n"/>
    </row>
    <row r="138" ht="50.1" customFormat="1" customHeight="1" s="6">
      <c r="A138" s="27" t="n"/>
      <c r="B138" s="28" t="n"/>
      <c r="C138" s="29" t="n"/>
      <c r="D138" s="27" t="n"/>
      <c r="E138" s="42" t="n"/>
      <c r="F138" s="42" t="n"/>
      <c r="G138" s="27" t="n"/>
      <c r="H138" s="27" t="n"/>
      <c r="I138" s="27" t="n"/>
      <c r="J138" s="27" t="n"/>
      <c r="K138" s="43" t="n"/>
      <c r="L138" s="43" t="n"/>
      <c r="M138" s="43" t="n"/>
      <c r="N138" s="10" t="n"/>
      <c r="O138" s="10" t="n"/>
      <c r="P138" s="10" t="n"/>
      <c r="Q138" s="10" t="n"/>
      <c r="R138" s="11" t="n"/>
      <c r="S138" s="11" t="n"/>
    </row>
    <row r="139" ht="50.1" customFormat="1" customHeight="1" s="6">
      <c r="A139" s="27" t="n"/>
      <c r="B139" s="28" t="n"/>
      <c r="C139" s="29" t="n"/>
      <c r="D139" s="27" t="n"/>
      <c r="E139" s="42" t="n"/>
      <c r="F139" s="42" t="n"/>
      <c r="G139" s="27" t="n"/>
      <c r="H139" s="27" t="n"/>
      <c r="I139" s="27" t="n"/>
      <c r="J139" s="27" t="n"/>
      <c r="K139" s="43" t="n"/>
      <c r="L139" s="43" t="n"/>
      <c r="M139" s="43" t="n"/>
      <c r="N139" s="10" t="n"/>
      <c r="O139" s="10" t="n"/>
      <c r="P139" s="10" t="n"/>
      <c r="Q139" s="10" t="n"/>
      <c r="R139" s="11" t="n"/>
      <c r="S139" s="11" t="n"/>
    </row>
    <row r="140" ht="50.1" customFormat="1" customHeight="1" s="6">
      <c r="A140" s="27" t="n"/>
      <c r="B140" s="28" t="n"/>
      <c r="C140" s="29" t="n"/>
      <c r="D140" s="27" t="n"/>
      <c r="E140" s="42" t="n"/>
      <c r="F140" s="42" t="n"/>
      <c r="G140" s="27" t="n"/>
      <c r="H140" s="27" t="n"/>
      <c r="I140" s="27" t="n"/>
      <c r="J140" s="27" t="n"/>
      <c r="K140" s="43" t="n"/>
      <c r="L140" s="43" t="n"/>
      <c r="M140" s="43" t="n"/>
      <c r="N140" s="10" t="n"/>
      <c r="O140" s="10" t="n"/>
      <c r="P140" s="10" t="n"/>
      <c r="Q140" s="10" t="n"/>
      <c r="R140" s="11" t="n"/>
      <c r="S140" s="11" t="n"/>
    </row>
    <row r="141" ht="50.1" customFormat="1" customHeight="1" s="6">
      <c r="A141" s="27" t="n"/>
      <c r="B141" s="28" t="n"/>
      <c r="C141" s="29" t="n"/>
      <c r="D141" s="27" t="n"/>
      <c r="E141" s="42" t="n"/>
      <c r="F141" s="42" t="n"/>
      <c r="G141" s="27" t="n"/>
      <c r="H141" s="27" t="n"/>
      <c r="I141" s="27" t="n"/>
      <c r="J141" s="27" t="n"/>
      <c r="K141" s="43" t="n"/>
      <c r="L141" s="43" t="n"/>
      <c r="M141" s="43" t="n"/>
      <c r="N141" s="10" t="n"/>
      <c r="O141" s="10" t="n"/>
      <c r="P141" s="10" t="n"/>
      <c r="Q141" s="10" t="n"/>
      <c r="R141" s="11" t="n"/>
      <c r="S141" s="11" t="n"/>
    </row>
    <row r="142" ht="50.1" customFormat="1" customHeight="1" s="6">
      <c r="A142" s="27" t="n"/>
      <c r="B142" s="28" t="n"/>
      <c r="C142" s="29" t="n"/>
      <c r="D142" s="27" t="n"/>
      <c r="E142" s="42" t="n"/>
      <c r="F142" s="42" t="n"/>
      <c r="G142" s="27" t="n"/>
      <c r="H142" s="27" t="n"/>
      <c r="I142" s="27" t="n"/>
      <c r="J142" s="27" t="n"/>
      <c r="K142" s="43" t="n"/>
      <c r="L142" s="43" t="n"/>
      <c r="M142" s="43" t="n"/>
      <c r="N142" s="10" t="n"/>
      <c r="O142" s="10" t="n"/>
      <c r="P142" s="10" t="n"/>
      <c r="Q142" s="10" t="n"/>
      <c r="R142" s="11" t="n"/>
      <c r="S142" s="11" t="n"/>
    </row>
    <row r="143" ht="50.1" customFormat="1" customHeight="1" s="6">
      <c r="A143" s="27" t="n"/>
      <c r="B143" s="28" t="n"/>
      <c r="C143" s="29" t="n"/>
      <c r="D143" s="27" t="n"/>
      <c r="E143" s="42" t="n"/>
      <c r="F143" s="42" t="n"/>
      <c r="G143" s="27" t="n"/>
      <c r="H143" s="27" t="n"/>
      <c r="I143" s="27" t="n"/>
      <c r="J143" s="27" t="n"/>
      <c r="K143" s="43" t="n"/>
      <c r="L143" s="43" t="n"/>
      <c r="M143" s="43" t="n"/>
      <c r="N143" s="10" t="n"/>
      <c r="O143" s="10" t="n"/>
      <c r="P143" s="10" t="n"/>
      <c r="Q143" s="10" t="n"/>
      <c r="R143" s="11" t="n"/>
      <c r="S143" s="11" t="n"/>
    </row>
    <row r="144" ht="50.1" customFormat="1" customHeight="1" s="6">
      <c r="A144" s="27" t="n"/>
      <c r="B144" s="28" t="n"/>
      <c r="C144" s="29" t="n"/>
      <c r="D144" s="27" t="n"/>
      <c r="E144" s="42" t="n"/>
      <c r="F144" s="42" t="n"/>
      <c r="G144" s="27" t="n"/>
      <c r="H144" s="27" t="n"/>
      <c r="I144" s="27" t="n"/>
      <c r="J144" s="27" t="n"/>
      <c r="K144" s="43" t="n"/>
      <c r="L144" s="43" t="n"/>
      <c r="M144" s="43" t="n"/>
      <c r="N144" s="10" t="n"/>
      <c r="O144" s="10" t="n"/>
      <c r="P144" s="10" t="n"/>
      <c r="Q144" s="10" t="n"/>
      <c r="R144" s="11" t="n"/>
      <c r="S144" s="11" t="n"/>
    </row>
    <row r="145" ht="50.1" customFormat="1" customHeight="1" s="6">
      <c r="A145" s="27" t="n"/>
      <c r="B145" s="28" t="n"/>
      <c r="C145" s="29" t="n"/>
      <c r="D145" s="27" t="n"/>
      <c r="E145" s="42" t="n"/>
      <c r="F145" s="42" t="n"/>
      <c r="G145" s="27" t="n"/>
      <c r="H145" s="27" t="n"/>
      <c r="I145" s="27" t="n"/>
      <c r="J145" s="27" t="n"/>
      <c r="K145" s="43" t="n"/>
      <c r="L145" s="43" t="n"/>
      <c r="M145" s="43" t="n"/>
      <c r="N145" s="10" t="n"/>
      <c r="O145" s="10" t="n"/>
      <c r="P145" s="10" t="n"/>
      <c r="Q145" s="10" t="n"/>
      <c r="R145" s="11" t="n"/>
      <c r="S145" s="11" t="n"/>
    </row>
    <row r="146" ht="50.1" customFormat="1" customHeight="1" s="6">
      <c r="A146" s="27" t="n"/>
      <c r="B146" s="28" t="n"/>
      <c r="C146" s="29" t="n"/>
      <c r="D146" s="27" t="n"/>
      <c r="E146" s="42" t="n"/>
      <c r="F146" s="42" t="n"/>
      <c r="G146" s="27" t="n"/>
      <c r="H146" s="27" t="n"/>
      <c r="I146" s="27" t="n"/>
      <c r="J146" s="27" t="n"/>
      <c r="K146" s="43" t="n"/>
      <c r="L146" s="43" t="n"/>
      <c r="M146" s="43" t="n"/>
      <c r="N146" s="10" t="n"/>
      <c r="O146" s="10" t="n"/>
      <c r="P146" s="10" t="n"/>
      <c r="Q146" s="10" t="n"/>
      <c r="R146" s="11" t="n"/>
      <c r="S146" s="11" t="n"/>
    </row>
    <row r="147" ht="50.1" customFormat="1" customHeight="1" s="6">
      <c r="A147" s="27" t="n"/>
      <c r="B147" s="28" t="n"/>
      <c r="C147" s="29" t="n"/>
      <c r="D147" s="27" t="n"/>
      <c r="E147" s="42" t="n"/>
      <c r="F147" s="42" t="n"/>
      <c r="G147" s="27" t="n"/>
      <c r="H147" s="27" t="n"/>
      <c r="I147" s="27" t="n"/>
      <c r="J147" s="27" t="n"/>
      <c r="K147" s="43" t="n"/>
      <c r="L147" s="43" t="n"/>
      <c r="M147" s="43" t="n"/>
      <c r="N147" s="10" t="n"/>
      <c r="O147" s="10" t="n"/>
      <c r="P147" s="10" t="n"/>
      <c r="Q147" s="10" t="n"/>
      <c r="R147" s="11" t="n"/>
      <c r="S147" s="11" t="n"/>
    </row>
    <row r="148" ht="50.1" customFormat="1" customHeight="1" s="6">
      <c r="A148" s="27" t="n"/>
      <c r="B148" s="28" t="n"/>
      <c r="C148" s="29" t="n"/>
      <c r="D148" s="27" t="n"/>
      <c r="E148" s="42" t="n"/>
      <c r="F148" s="42" t="n"/>
      <c r="G148" s="27" t="n"/>
      <c r="H148" s="27" t="n"/>
      <c r="I148" s="27" t="n"/>
      <c r="J148" s="27" t="n"/>
      <c r="K148" s="43" t="n"/>
      <c r="L148" s="43" t="n"/>
      <c r="M148" s="43" t="n"/>
      <c r="N148" s="10" t="n"/>
      <c r="O148" s="10" t="n"/>
      <c r="P148" s="10" t="n"/>
      <c r="Q148" s="10" t="n"/>
      <c r="R148" s="11" t="n"/>
      <c r="S148" s="11" t="n"/>
    </row>
    <row r="149" ht="50.1" customFormat="1" customHeight="1" s="6">
      <c r="A149" s="27" t="n"/>
      <c r="B149" s="28" t="n"/>
      <c r="C149" s="29" t="n"/>
      <c r="D149" s="27" t="n"/>
      <c r="E149" s="42" t="n"/>
      <c r="F149" s="42" t="n"/>
      <c r="G149" s="27" t="n"/>
      <c r="H149" s="27" t="n"/>
      <c r="I149" s="27" t="n"/>
      <c r="J149" s="27" t="n"/>
      <c r="K149" s="43" t="n"/>
      <c r="L149" s="43" t="n"/>
      <c r="M149" s="43" t="n"/>
      <c r="N149" s="10" t="n"/>
      <c r="O149" s="10" t="n"/>
      <c r="P149" s="10" t="n"/>
      <c r="Q149" s="10" t="n"/>
      <c r="R149" s="11" t="n"/>
      <c r="S149" s="11" t="n"/>
    </row>
    <row r="150" ht="50.1" customFormat="1" customHeight="1" s="6">
      <c r="A150" s="27" t="n"/>
      <c r="B150" s="28" t="n"/>
      <c r="C150" s="29" t="n"/>
      <c r="D150" s="27" t="n"/>
      <c r="E150" s="42" t="n"/>
      <c r="F150" s="42" t="n"/>
      <c r="G150" s="27" t="n"/>
      <c r="H150" s="27" t="n"/>
      <c r="I150" s="27" t="n"/>
      <c r="J150" s="27" t="n"/>
      <c r="K150" s="43" t="n"/>
      <c r="L150" s="43" t="n"/>
      <c r="M150" s="43" t="n"/>
      <c r="N150" s="10" t="n"/>
      <c r="O150" s="10" t="n"/>
      <c r="P150" s="10" t="n"/>
      <c r="Q150" s="10" t="n"/>
      <c r="R150" s="11" t="n"/>
      <c r="S150" s="11" t="n"/>
    </row>
    <row r="151" ht="50.1" customFormat="1" customHeight="1" s="6">
      <c r="A151" s="27" t="n"/>
      <c r="B151" s="28" t="n"/>
      <c r="C151" s="29" t="n"/>
      <c r="D151" s="27" t="n"/>
      <c r="E151" s="42" t="n"/>
      <c r="F151" s="42" t="n"/>
      <c r="G151" s="27" t="n"/>
      <c r="H151" s="27" t="n"/>
      <c r="I151" s="27" t="n"/>
      <c r="J151" s="27" t="n"/>
      <c r="K151" s="43" t="n"/>
      <c r="L151" s="43" t="n"/>
      <c r="M151" s="43" t="n"/>
      <c r="N151" s="10" t="n"/>
      <c r="O151" s="10" t="n"/>
      <c r="P151" s="10" t="n"/>
      <c r="Q151" s="10" t="n"/>
      <c r="R151" s="11" t="n"/>
      <c r="S151" s="11" t="n"/>
    </row>
    <row r="152" ht="50.1" customFormat="1" customHeight="1" s="6">
      <c r="A152" s="27" t="n"/>
      <c r="B152" s="28" t="n"/>
      <c r="C152" s="29" t="n"/>
      <c r="D152" s="27" t="n"/>
      <c r="E152" s="42" t="n"/>
      <c r="F152" s="42" t="n"/>
      <c r="G152" s="27" t="n"/>
      <c r="H152" s="27" t="n"/>
      <c r="I152" s="27" t="n"/>
      <c r="J152" s="27" t="n"/>
      <c r="K152" s="43" t="n"/>
      <c r="L152" s="43" t="n"/>
      <c r="M152" s="43" t="n"/>
      <c r="N152" s="10" t="n"/>
      <c r="O152" s="10" t="n"/>
      <c r="P152" s="10" t="n"/>
      <c r="Q152" s="10" t="n"/>
      <c r="R152" s="11" t="n"/>
      <c r="S152" s="11" t="n"/>
    </row>
    <row r="153" ht="50.1" customFormat="1" customHeight="1" s="6">
      <c r="A153" s="27" t="n"/>
      <c r="B153" s="28" t="n"/>
      <c r="C153" s="29" t="n"/>
      <c r="D153" s="27" t="n"/>
      <c r="E153" s="42" t="n"/>
      <c r="F153" s="42" t="n"/>
      <c r="G153" s="27" t="n"/>
      <c r="H153" s="27" t="n"/>
      <c r="I153" s="27" t="n"/>
      <c r="J153" s="27" t="n"/>
      <c r="K153" s="43" t="n"/>
      <c r="L153" s="43" t="n"/>
      <c r="M153" s="43" t="n"/>
      <c r="N153" s="10" t="n"/>
      <c r="O153" s="10" t="n"/>
      <c r="P153" s="10" t="n"/>
      <c r="Q153" s="10" t="n"/>
      <c r="R153" s="11" t="n"/>
      <c r="S153" s="11" t="n"/>
    </row>
    <row r="154" ht="50.1" customFormat="1" customHeight="1" s="6">
      <c r="A154" s="27" t="n"/>
      <c r="B154" s="28" t="n"/>
      <c r="C154" s="29" t="n"/>
      <c r="D154" s="27" t="n"/>
      <c r="E154" s="42" t="n"/>
      <c r="F154" s="42" t="n"/>
      <c r="G154" s="27" t="n"/>
      <c r="H154" s="27" t="n"/>
      <c r="I154" s="27" t="n"/>
      <c r="J154" s="27" t="n"/>
      <c r="K154" s="43" t="n"/>
      <c r="L154" s="43" t="n"/>
      <c r="M154" s="43" t="n"/>
      <c r="N154" s="10" t="n"/>
      <c r="O154" s="10" t="n"/>
      <c r="P154" s="10" t="n"/>
      <c r="Q154" s="10" t="n"/>
      <c r="R154" s="11" t="n"/>
      <c r="S154" s="11" t="n"/>
    </row>
    <row r="155" ht="50.1" customFormat="1" customHeight="1" s="6">
      <c r="A155" s="27" t="n"/>
      <c r="B155" s="28" t="n"/>
      <c r="C155" s="29" t="n"/>
      <c r="D155" s="27" t="n"/>
      <c r="E155" s="42" t="n"/>
      <c r="F155" s="42" t="n"/>
      <c r="G155" s="27" t="n"/>
      <c r="H155" s="27" t="n"/>
      <c r="I155" s="27" t="n"/>
      <c r="J155" s="27" t="n"/>
      <c r="K155" s="43" t="n"/>
      <c r="L155" s="43" t="n"/>
      <c r="M155" s="43" t="n"/>
      <c r="N155" s="10" t="n"/>
      <c r="O155" s="10" t="n"/>
      <c r="P155" s="10" t="n"/>
      <c r="Q155" s="10" t="n"/>
      <c r="R155" s="11" t="n"/>
      <c r="S155" s="11" t="n"/>
    </row>
    <row r="156" ht="50.1" customFormat="1" customHeight="1" s="6">
      <c r="A156" s="27" t="n"/>
      <c r="B156" s="28" t="n"/>
      <c r="C156" s="29" t="n"/>
      <c r="D156" s="27" t="n"/>
      <c r="E156" s="42" t="n"/>
      <c r="F156" s="42" t="n"/>
      <c r="G156" s="27" t="n"/>
      <c r="H156" s="27" t="n"/>
      <c r="I156" s="27" t="n"/>
      <c r="J156" s="27" t="n"/>
      <c r="K156" s="43" t="n"/>
      <c r="L156" s="43" t="n"/>
      <c r="M156" s="43" t="n"/>
      <c r="N156" s="10" t="n"/>
      <c r="O156" s="10" t="n"/>
      <c r="P156" s="10" t="n"/>
      <c r="Q156" s="10" t="n"/>
      <c r="R156" s="11" t="n"/>
      <c r="S156" s="11" t="n"/>
    </row>
    <row r="157" ht="50.1" customFormat="1" customHeight="1" s="6">
      <c r="A157" s="27" t="n"/>
      <c r="B157" s="28" t="n"/>
      <c r="C157" s="29" t="n"/>
      <c r="D157" s="27" t="n"/>
      <c r="E157" s="42" t="n"/>
      <c r="F157" s="42" t="n"/>
      <c r="G157" s="27" t="n"/>
      <c r="H157" s="27" t="n"/>
      <c r="I157" s="27" t="n"/>
      <c r="J157" s="27" t="n"/>
      <c r="K157" s="43" t="n"/>
      <c r="L157" s="43" t="n"/>
      <c r="M157" s="43" t="n"/>
      <c r="N157" s="10" t="n"/>
      <c r="O157" s="10" t="n"/>
      <c r="P157" s="10" t="n"/>
      <c r="Q157" s="10" t="n"/>
      <c r="R157" s="11" t="n"/>
      <c r="S157" s="11" t="n"/>
    </row>
    <row r="158" ht="50.1" customFormat="1" customHeight="1" s="6">
      <c r="A158" s="27" t="n"/>
      <c r="B158" s="28" t="n"/>
      <c r="C158" s="29" t="n"/>
      <c r="D158" s="27" t="n"/>
      <c r="E158" s="42" t="n"/>
      <c r="F158" s="42" t="n"/>
      <c r="G158" s="27" t="n"/>
      <c r="H158" s="27" t="n"/>
      <c r="I158" s="27" t="n"/>
      <c r="J158" s="27" t="n"/>
      <c r="K158" s="43" t="n"/>
      <c r="L158" s="43" t="n"/>
      <c r="M158" s="43" t="n"/>
      <c r="N158" s="10" t="n"/>
      <c r="O158" s="10" t="n"/>
      <c r="P158" s="10" t="n"/>
      <c r="Q158" s="10" t="n"/>
      <c r="R158" s="11" t="n"/>
      <c r="S158" s="11" t="n"/>
    </row>
    <row r="159" ht="50.1" customFormat="1" customHeight="1" s="6">
      <c r="A159" s="27" t="n"/>
      <c r="B159" s="28" t="n"/>
      <c r="C159" s="29" t="n"/>
      <c r="D159" s="27" t="n"/>
      <c r="E159" s="42" t="n"/>
      <c r="F159" s="42" t="n"/>
      <c r="G159" s="27" t="n"/>
      <c r="H159" s="27" t="n"/>
      <c r="I159" s="27" t="n"/>
      <c r="J159" s="27" t="n"/>
      <c r="K159" s="43" t="n"/>
      <c r="L159" s="43" t="n"/>
      <c r="M159" s="43" t="n"/>
      <c r="N159" s="10" t="n"/>
      <c r="O159" s="10" t="n"/>
      <c r="P159" s="10" t="n"/>
      <c r="Q159" s="10" t="n"/>
      <c r="R159" s="11" t="n"/>
      <c r="S159" s="11" t="n"/>
    </row>
    <row r="160" ht="50.1" customFormat="1" customHeight="1" s="6">
      <c r="A160" s="27" t="n"/>
      <c r="B160" s="28" t="n"/>
      <c r="C160" s="29" t="n"/>
      <c r="D160" s="27" t="n"/>
      <c r="E160" s="42" t="n"/>
      <c r="F160" s="42" t="n"/>
      <c r="G160" s="27" t="n"/>
      <c r="H160" s="27" t="n"/>
      <c r="I160" s="27" t="n"/>
      <c r="J160" s="27" t="n"/>
      <c r="K160" s="43" t="n"/>
      <c r="L160" s="43" t="n"/>
      <c r="M160" s="43" t="n"/>
      <c r="N160" s="10" t="n"/>
      <c r="O160" s="10" t="n"/>
      <c r="P160" s="10" t="n"/>
      <c r="Q160" s="10" t="n"/>
      <c r="R160" s="11" t="n"/>
      <c r="S160" s="11" t="n"/>
    </row>
    <row r="161" ht="50.1" customFormat="1" customHeight="1" s="6">
      <c r="A161" s="27" t="n"/>
      <c r="B161" s="28" t="n"/>
      <c r="C161" s="29" t="n"/>
      <c r="D161" s="27" t="n"/>
      <c r="E161" s="42" t="n"/>
      <c r="F161" s="42" t="n"/>
      <c r="G161" s="27" t="n"/>
      <c r="H161" s="27" t="n"/>
      <c r="I161" s="27" t="n"/>
      <c r="J161" s="27" t="n"/>
      <c r="K161" s="43" t="n"/>
      <c r="L161" s="43" t="n"/>
      <c r="M161" s="43" t="n"/>
      <c r="N161" s="10" t="n"/>
      <c r="O161" s="10" t="n"/>
      <c r="P161" s="10" t="n"/>
      <c r="Q161" s="10" t="n"/>
      <c r="R161" s="11" t="n"/>
      <c r="S161" s="11" t="n"/>
    </row>
    <row r="162" ht="50.1" customFormat="1" customHeight="1" s="6">
      <c r="A162" s="27" t="n"/>
      <c r="B162" s="28" t="n"/>
      <c r="C162" s="29" t="n"/>
      <c r="D162" s="27" t="n"/>
      <c r="E162" s="42" t="n"/>
      <c r="F162" s="42" t="n"/>
      <c r="G162" s="27" t="n"/>
      <c r="H162" s="27" t="n"/>
      <c r="I162" s="27" t="n"/>
      <c r="J162" s="27" t="n"/>
      <c r="K162" s="43" t="n"/>
      <c r="L162" s="43" t="n"/>
      <c r="M162" s="43" t="n"/>
      <c r="N162" s="10" t="n"/>
      <c r="O162" s="10" t="n"/>
      <c r="P162" s="10" t="n"/>
      <c r="Q162" s="10" t="n"/>
      <c r="R162" s="11" t="n"/>
      <c r="S162" s="11" t="n"/>
    </row>
    <row r="163" ht="50.1" customFormat="1" customHeight="1" s="6">
      <c r="A163" s="27" t="n"/>
      <c r="B163" s="28" t="n"/>
      <c r="C163" s="29" t="n"/>
      <c r="D163" s="27" t="n"/>
      <c r="E163" s="42" t="n"/>
      <c r="F163" s="42" t="n"/>
      <c r="G163" s="27" t="n"/>
      <c r="H163" s="27" t="n"/>
      <c r="I163" s="27" t="n"/>
      <c r="J163" s="27" t="n"/>
      <c r="K163" s="43" t="n"/>
      <c r="L163" s="43" t="n"/>
      <c r="M163" s="43" t="n"/>
      <c r="N163" s="10" t="n"/>
      <c r="O163" s="10" t="n"/>
      <c r="P163" s="10" t="n"/>
      <c r="Q163" s="10" t="n"/>
      <c r="R163" s="11" t="n"/>
      <c r="S163" s="11" t="n"/>
    </row>
    <row r="164" ht="50.1" customFormat="1" customHeight="1" s="6">
      <c r="A164" s="27" t="n"/>
      <c r="B164" s="28" t="n"/>
      <c r="C164" s="29" t="n"/>
      <c r="D164" s="27" t="n"/>
      <c r="E164" s="42" t="n"/>
      <c r="F164" s="42" t="n"/>
      <c r="G164" s="27" t="n"/>
      <c r="H164" s="27" t="n"/>
      <c r="I164" s="27" t="n"/>
      <c r="J164" s="27" t="n"/>
      <c r="K164" s="43" t="n"/>
      <c r="L164" s="43" t="n"/>
      <c r="M164" s="43" t="n"/>
      <c r="N164" s="10" t="n"/>
      <c r="O164" s="10" t="n"/>
      <c r="P164" s="10" t="n"/>
      <c r="Q164" s="10" t="n"/>
      <c r="R164" s="11" t="n"/>
      <c r="S164" s="11" t="n"/>
    </row>
    <row r="165" ht="50.1" customFormat="1" customHeight="1" s="6">
      <c r="A165" s="27" t="n"/>
      <c r="B165" s="28" t="n"/>
      <c r="C165" s="29" t="n"/>
      <c r="D165" s="27" t="n"/>
      <c r="E165" s="42" t="n"/>
      <c r="F165" s="42" t="n"/>
      <c r="G165" s="27" t="n"/>
      <c r="H165" s="27" t="n"/>
      <c r="I165" s="27" t="n"/>
      <c r="J165" s="27" t="n"/>
      <c r="K165" s="43" t="n"/>
      <c r="L165" s="43" t="n"/>
      <c r="M165" s="43" t="n"/>
      <c r="N165" s="10" t="n"/>
      <c r="O165" s="10" t="n"/>
      <c r="P165" s="10" t="n"/>
      <c r="Q165" s="10" t="n"/>
      <c r="R165" s="11" t="n"/>
      <c r="S165" s="11" t="n"/>
    </row>
    <row r="166" ht="50.1" customFormat="1" customHeight="1" s="6">
      <c r="A166" s="27" t="n"/>
      <c r="B166" s="28" t="n"/>
      <c r="C166" s="29" t="n"/>
      <c r="D166" s="27" t="n"/>
      <c r="E166" s="42" t="n"/>
      <c r="F166" s="42" t="n"/>
      <c r="G166" s="27" t="n"/>
      <c r="H166" s="27" t="n"/>
      <c r="I166" s="27" t="n"/>
      <c r="J166" s="27" t="n"/>
      <c r="K166" s="43" t="n"/>
      <c r="L166" s="43" t="n"/>
      <c r="M166" s="43" t="n"/>
      <c r="N166" s="10" t="n"/>
      <c r="O166" s="10" t="n"/>
      <c r="P166" s="10" t="n"/>
      <c r="Q166" s="10" t="n"/>
      <c r="R166" s="11" t="n"/>
      <c r="S166" s="11" t="n"/>
    </row>
    <row r="167" ht="50.1" customFormat="1" customHeight="1" s="6">
      <c r="A167" s="27" t="n"/>
      <c r="B167" s="28" t="n"/>
      <c r="C167" s="29" t="n"/>
      <c r="D167" s="27" t="n"/>
      <c r="E167" s="42" t="n"/>
      <c r="F167" s="42" t="n"/>
      <c r="G167" s="27" t="n"/>
      <c r="H167" s="27" t="n"/>
      <c r="I167" s="27" t="n"/>
      <c r="J167" s="27" t="n"/>
      <c r="K167" s="43" t="n"/>
      <c r="L167" s="43" t="n"/>
      <c r="M167" s="43" t="n"/>
      <c r="N167" s="10" t="n"/>
      <c r="O167" s="10" t="n"/>
      <c r="P167" s="10" t="n"/>
      <c r="Q167" s="10" t="n"/>
      <c r="R167" s="11" t="n"/>
      <c r="S167" s="11" t="n"/>
    </row>
    <row r="168" ht="50.1" customFormat="1" customHeight="1" s="6">
      <c r="A168" s="27" t="n"/>
      <c r="B168" s="28" t="n"/>
      <c r="C168" s="29" t="n"/>
      <c r="D168" s="27" t="n"/>
      <c r="E168" s="42" t="n"/>
      <c r="F168" s="42" t="n"/>
      <c r="G168" s="27" t="n"/>
      <c r="H168" s="27" t="n"/>
      <c r="I168" s="27" t="n"/>
      <c r="J168" s="27" t="n"/>
      <c r="K168" s="43" t="n"/>
      <c r="L168" s="43" t="n"/>
      <c r="M168" s="43" t="n"/>
      <c r="N168" s="10" t="n"/>
      <c r="O168" s="10" t="n"/>
      <c r="P168" s="10" t="n"/>
      <c r="Q168" s="10" t="n"/>
      <c r="R168" s="11" t="n"/>
      <c r="S168" s="11" t="n"/>
    </row>
    <row r="169" ht="50.1" customFormat="1" customHeight="1" s="6">
      <c r="A169" s="27" t="n"/>
      <c r="B169" s="28" t="n"/>
      <c r="C169" s="29" t="n"/>
      <c r="D169" s="27" t="n"/>
      <c r="E169" s="42" t="n"/>
      <c r="F169" s="42" t="n"/>
      <c r="G169" s="27" t="n"/>
      <c r="H169" s="27" t="n"/>
      <c r="I169" s="27" t="n"/>
      <c r="J169" s="27" t="n"/>
      <c r="K169" s="43" t="n"/>
      <c r="L169" s="43" t="n"/>
      <c r="M169" s="43" t="n"/>
      <c r="N169" s="10" t="n"/>
      <c r="O169" s="10" t="n"/>
      <c r="P169" s="10" t="n"/>
      <c r="Q169" s="10" t="n"/>
      <c r="R169" s="11" t="n"/>
      <c r="S169" s="11" t="n"/>
    </row>
    <row r="170" ht="50.1" customFormat="1" customHeight="1" s="6">
      <c r="A170" s="27" t="n"/>
      <c r="B170" s="28" t="n"/>
      <c r="C170" s="29" t="n"/>
      <c r="D170" s="27" t="n"/>
      <c r="E170" s="42" t="n"/>
      <c r="F170" s="42" t="n"/>
      <c r="G170" s="27" t="n"/>
      <c r="H170" s="27" t="n"/>
      <c r="I170" s="27" t="n"/>
      <c r="J170" s="27" t="n"/>
      <c r="K170" s="43" t="n"/>
      <c r="L170" s="43" t="n"/>
      <c r="M170" s="43" t="n"/>
      <c r="N170" s="10" t="n"/>
      <c r="O170" s="10" t="n"/>
      <c r="P170" s="10" t="n"/>
      <c r="Q170" s="10" t="n"/>
      <c r="R170" s="11" t="n"/>
      <c r="S170" s="11" t="n"/>
    </row>
    <row r="171" ht="50.1" customFormat="1" customHeight="1" s="6">
      <c r="A171" s="27" t="n"/>
      <c r="B171" s="28" t="n"/>
      <c r="C171" s="29" t="n"/>
      <c r="D171" s="27" t="n"/>
      <c r="E171" s="42" t="n"/>
      <c r="F171" s="42" t="n"/>
      <c r="G171" s="27" t="n"/>
      <c r="H171" s="27" t="n"/>
      <c r="I171" s="27" t="n"/>
      <c r="J171" s="27" t="n"/>
      <c r="K171" s="43" t="n"/>
      <c r="L171" s="43" t="n"/>
      <c r="M171" s="43" t="n"/>
      <c r="N171" s="10" t="n"/>
      <c r="O171" s="10" t="n"/>
      <c r="P171" s="10" t="n"/>
      <c r="Q171" s="10" t="n"/>
      <c r="R171" s="11" t="n"/>
      <c r="S171" s="11" t="n"/>
    </row>
    <row r="172" ht="50.1" customFormat="1" customHeight="1" s="6">
      <c r="A172" s="27" t="n"/>
      <c r="B172" s="28" t="n"/>
      <c r="C172" s="29" t="n"/>
      <c r="D172" s="27" t="n"/>
      <c r="E172" s="42" t="n"/>
      <c r="F172" s="42" t="n"/>
      <c r="G172" s="27" t="n"/>
      <c r="H172" s="27" t="n"/>
      <c r="I172" s="27" t="n"/>
      <c r="J172" s="27" t="n"/>
      <c r="K172" s="43" t="n"/>
      <c r="L172" s="43" t="n"/>
      <c r="M172" s="43" t="n"/>
      <c r="N172" s="10" t="n"/>
      <c r="O172" s="10" t="n"/>
      <c r="P172" s="10" t="n"/>
      <c r="Q172" s="10" t="n"/>
      <c r="R172" s="11" t="n"/>
      <c r="S172" s="11" t="n"/>
    </row>
    <row r="173" ht="50.1" customFormat="1" customHeight="1" s="6">
      <c r="A173" s="27" t="n"/>
      <c r="B173" s="28" t="n"/>
      <c r="C173" s="29" t="n"/>
      <c r="D173" s="27" t="n"/>
      <c r="E173" s="42" t="n"/>
      <c r="F173" s="42" t="n"/>
      <c r="G173" s="27" t="n"/>
      <c r="H173" s="27" t="n"/>
      <c r="I173" s="27" t="n"/>
      <c r="J173" s="27" t="n"/>
      <c r="K173" s="43" t="n"/>
      <c r="L173" s="43" t="n"/>
      <c r="M173" s="43" t="n"/>
      <c r="N173" s="10" t="n"/>
      <c r="O173" s="10" t="n"/>
      <c r="P173" s="10" t="n"/>
      <c r="Q173" s="10" t="n"/>
      <c r="R173" s="11" t="n"/>
      <c r="S173" s="11" t="n"/>
    </row>
    <row r="174" ht="50.1" customFormat="1" customHeight="1" s="6">
      <c r="A174" s="27" t="n"/>
      <c r="B174" s="28" t="n"/>
      <c r="C174" s="29" t="n"/>
      <c r="D174" s="27" t="n"/>
      <c r="E174" s="42" t="n"/>
      <c r="F174" s="42" t="n"/>
      <c r="G174" s="27" t="n"/>
      <c r="H174" s="27" t="n"/>
      <c r="I174" s="27" t="n"/>
      <c r="J174" s="27" t="n"/>
      <c r="K174" s="43" t="n"/>
      <c r="L174" s="43" t="n"/>
      <c r="M174" s="43" t="n"/>
      <c r="N174" s="10" t="n"/>
      <c r="O174" s="10" t="n"/>
      <c r="P174" s="10" t="n"/>
      <c r="Q174" s="10" t="n"/>
      <c r="R174" s="11" t="n"/>
      <c r="S174" s="11" t="n"/>
    </row>
    <row r="175" ht="50.1" customFormat="1" customHeight="1" s="6">
      <c r="A175" s="27" t="n"/>
      <c r="B175" s="28" t="n"/>
      <c r="C175" s="29" t="n"/>
      <c r="D175" s="27" t="n"/>
      <c r="E175" s="42" t="n"/>
      <c r="F175" s="42" t="n"/>
      <c r="G175" s="27" t="n"/>
      <c r="H175" s="27" t="n"/>
      <c r="I175" s="27" t="n"/>
      <c r="J175" s="27" t="n"/>
      <c r="K175" s="43" t="n"/>
      <c r="L175" s="43" t="n"/>
      <c r="M175" s="43" t="n"/>
      <c r="N175" s="10" t="n"/>
      <c r="O175" s="10" t="n"/>
      <c r="P175" s="10" t="n"/>
      <c r="Q175" s="10" t="n"/>
      <c r="R175" s="11" t="n"/>
      <c r="S175" s="11" t="n"/>
    </row>
    <row r="176" ht="50.1" customFormat="1" customHeight="1" s="6">
      <c r="A176" s="27" t="n"/>
      <c r="B176" s="28" t="n"/>
      <c r="C176" s="29" t="n"/>
      <c r="D176" s="27" t="n"/>
      <c r="E176" s="42" t="n"/>
      <c r="F176" s="42" t="n"/>
      <c r="G176" s="27" t="n"/>
      <c r="H176" s="27" t="n"/>
      <c r="I176" s="27" t="n"/>
      <c r="J176" s="27" t="n"/>
      <c r="K176" s="43" t="n"/>
      <c r="L176" s="43" t="n"/>
      <c r="M176" s="43" t="n"/>
      <c r="N176" s="10" t="n"/>
      <c r="O176" s="10" t="n"/>
      <c r="P176" s="10" t="n"/>
      <c r="Q176" s="10" t="n"/>
      <c r="R176" s="11" t="n"/>
      <c r="S176" s="11" t="n"/>
    </row>
    <row r="177" ht="50.1" customFormat="1" customHeight="1" s="6">
      <c r="A177" s="21" t="n"/>
      <c r="B177" s="21" t="n"/>
      <c r="C177" s="21" t="n"/>
      <c r="D177" s="20" t="n"/>
      <c r="E177" s="21" t="n"/>
      <c r="F177" s="21" t="n"/>
      <c r="G177" s="20" t="n"/>
      <c r="H177" s="21" t="n"/>
      <c r="I177" s="21" t="n"/>
      <c r="J177" s="21" t="n"/>
      <c r="K177" s="22" t="n"/>
      <c r="L177" s="22" t="n"/>
      <c r="M177" s="22" t="n"/>
      <c r="N177" s="10" t="n"/>
      <c r="O177" s="10" t="n"/>
      <c r="P177" s="10" t="n"/>
      <c r="Q177" s="10" t="n"/>
      <c r="R177" s="11" t="n"/>
      <c r="S177" s="11" t="n"/>
    </row>
    <row r="178" ht="50.1" customFormat="1" customHeight="1" s="6">
      <c r="A178" s="21" t="n"/>
      <c r="B178" s="21" t="n"/>
      <c r="C178" s="21" t="n"/>
      <c r="D178" s="20" t="n"/>
      <c r="E178" s="21" t="n"/>
      <c r="F178" s="21" t="n"/>
      <c r="G178" s="20" t="n"/>
      <c r="H178" s="21" t="n"/>
      <c r="I178" s="21" t="n"/>
      <c r="J178" s="21" t="n"/>
      <c r="K178" s="22" t="n"/>
      <c r="L178" s="22" t="n"/>
      <c r="M178" s="22" t="n"/>
      <c r="N178" s="10" t="n"/>
      <c r="O178" s="10" t="n"/>
      <c r="P178" s="10" t="n"/>
      <c r="Q178" s="10" t="n"/>
      <c r="R178" s="11" t="n"/>
      <c r="S178" s="11" t="n"/>
    </row>
    <row r="179" ht="49.5" customFormat="1" customHeight="1" s="6">
      <c r="A179" s="21" t="n"/>
      <c r="B179" s="21" t="n"/>
      <c r="C179" s="21" t="n"/>
      <c r="D179" s="20" t="n"/>
      <c r="E179" s="21" t="n"/>
      <c r="F179" s="21" t="n"/>
      <c r="G179" s="20" t="n"/>
      <c r="H179" s="21" t="n"/>
      <c r="I179" s="21" t="n"/>
      <c r="J179" s="21" t="n"/>
      <c r="K179" s="22" t="n"/>
      <c r="L179" s="22" t="n"/>
      <c r="M179" s="22" t="n"/>
      <c r="N179" s="10" t="n"/>
      <c r="O179" s="10" t="n"/>
      <c r="P179" s="10" t="n"/>
      <c r="Q179" s="10" t="n"/>
      <c r="R179" s="11" t="n"/>
      <c r="S179" s="11" t="n"/>
    </row>
    <row r="180" ht="49.5" customFormat="1" customHeight="1" s="6">
      <c r="A180" s="21" t="n"/>
      <c r="B180" s="21" t="n"/>
      <c r="C180" s="21" t="n"/>
      <c r="D180" s="20" t="n"/>
      <c r="E180" s="21" t="n"/>
      <c r="F180" s="21" t="n"/>
      <c r="G180" s="20" t="n"/>
      <c r="H180" s="21" t="n"/>
      <c r="I180" s="21" t="n"/>
      <c r="J180" s="21" t="n"/>
      <c r="K180" s="22" t="n"/>
      <c r="L180" s="22" t="n"/>
      <c r="M180" s="22" t="n"/>
      <c r="N180" s="10" t="n"/>
      <c r="O180" s="10" t="n"/>
      <c r="P180" s="10" t="n"/>
      <c r="Q180" s="10" t="n"/>
      <c r="R180" s="11" t="n"/>
      <c r="S180" s="11" t="n"/>
    </row>
    <row r="181" ht="49.5" customFormat="1" customHeight="1" s="6">
      <c r="A181" s="21" t="n"/>
      <c r="B181" s="21" t="n"/>
      <c r="C181" s="21" t="n"/>
      <c r="D181" s="20" t="n"/>
      <c r="E181" s="21" t="n"/>
      <c r="F181" s="21" t="n"/>
      <c r="G181" s="20" t="n"/>
      <c r="H181" s="21" t="n"/>
      <c r="I181" s="21" t="n"/>
      <c r="J181" s="21" t="n"/>
      <c r="K181" s="22" t="n"/>
      <c r="L181" s="22" t="n"/>
      <c r="M181" s="22" t="n"/>
      <c r="N181" s="10" t="n"/>
      <c r="O181" s="10" t="n"/>
      <c r="P181" s="10" t="n"/>
      <c r="Q181" s="10" t="n"/>
      <c r="R181" s="11" t="n"/>
      <c r="S181" s="11" t="n"/>
    </row>
    <row r="182" ht="49.5" customFormat="1" customHeight="1" s="6">
      <c r="A182" s="21" t="n"/>
      <c r="B182" s="21" t="n"/>
      <c r="C182" s="21" t="n"/>
      <c r="D182" s="20" t="n"/>
      <c r="E182" s="21" t="n"/>
      <c r="F182" s="21" t="n"/>
      <c r="G182" s="20" t="n"/>
      <c r="H182" s="21" t="n"/>
      <c r="I182" s="21" t="n"/>
      <c r="J182" s="21" t="n"/>
      <c r="K182" s="22" t="n"/>
      <c r="L182" s="22" t="n"/>
      <c r="M182" s="22" t="n"/>
      <c r="N182" s="10" t="n"/>
      <c r="O182" s="10" t="n"/>
      <c r="P182" s="10" t="n"/>
      <c r="Q182" s="10" t="n"/>
      <c r="R182" s="11" t="n"/>
      <c r="S182" s="11" t="n"/>
    </row>
    <row r="183" ht="50.1" customFormat="1" customHeight="1" s="6">
      <c r="A183" s="21" t="n"/>
      <c r="B183" s="21" t="n"/>
      <c r="C183" s="21" t="n"/>
      <c r="D183" s="20" t="n"/>
      <c r="E183" s="21" t="n"/>
      <c r="F183" s="21" t="n"/>
      <c r="G183" s="20" t="n"/>
      <c r="H183" s="21" t="n"/>
      <c r="I183" s="21" t="n"/>
      <c r="J183" s="21" t="n"/>
      <c r="K183" s="22" t="n"/>
      <c r="L183" s="22" t="n"/>
      <c r="M183" s="22" t="n"/>
      <c r="N183" s="10" t="n"/>
      <c r="O183" s="10" t="n"/>
      <c r="P183" s="10" t="n"/>
      <c r="Q183" s="10" t="n"/>
      <c r="R183" s="11" t="n"/>
      <c r="S183" s="11" t="n"/>
    </row>
    <row r="184" ht="49.5" customFormat="1" customHeight="1" s="6">
      <c r="A184" s="21" t="n"/>
      <c r="B184" s="21" t="n"/>
      <c r="C184" s="21" t="n"/>
      <c r="D184" s="20" t="n"/>
      <c r="E184" s="21" t="n"/>
      <c r="F184" s="21" t="n"/>
      <c r="G184" s="20" t="n"/>
      <c r="H184" s="21" t="n"/>
      <c r="I184" s="21" t="n"/>
      <c r="J184" s="21" t="n"/>
      <c r="K184" s="22" t="n"/>
      <c r="L184" s="22" t="n"/>
      <c r="M184" s="22" t="n"/>
      <c r="N184" s="10" t="n"/>
      <c r="O184" s="10" t="n"/>
      <c r="P184" s="10" t="n"/>
      <c r="Q184" s="10" t="n"/>
      <c r="R184" s="11" t="n"/>
      <c r="S184" s="11" t="n"/>
    </row>
    <row r="185" ht="49.5" customFormat="1" customHeight="1" s="6">
      <c r="A185" s="21" t="n"/>
      <c r="B185" s="21" t="n"/>
      <c r="C185" s="21" t="n"/>
      <c r="D185" s="20" t="n"/>
      <c r="E185" s="21" t="n"/>
      <c r="F185" s="21" t="n"/>
      <c r="G185" s="20" t="n"/>
      <c r="H185" s="21" t="n"/>
      <c r="I185" s="21" t="n"/>
      <c r="J185" s="21" t="n"/>
      <c r="K185" s="22" t="n"/>
      <c r="L185" s="22" t="n"/>
      <c r="M185" s="22" t="n"/>
      <c r="N185" s="10" t="n"/>
      <c r="O185" s="10" t="n"/>
      <c r="P185" s="10" t="n"/>
      <c r="Q185" s="10" t="n"/>
      <c r="R185" s="11" t="n"/>
      <c r="S185" s="11" t="n"/>
    </row>
    <row r="186" ht="49.5" customFormat="1" customHeight="1" s="6">
      <c r="A186" s="21" t="n"/>
      <c r="B186" s="21" t="n"/>
      <c r="C186" s="21" t="n"/>
      <c r="D186" s="20" t="n"/>
      <c r="E186" s="21" t="n"/>
      <c r="F186" s="21" t="n"/>
      <c r="G186" s="20" t="n"/>
      <c r="H186" s="21" t="n"/>
      <c r="I186" s="21" t="n"/>
      <c r="J186" s="21" t="n"/>
      <c r="K186" s="22" t="n"/>
      <c r="L186" s="22" t="n"/>
      <c r="M186" s="22" t="n"/>
      <c r="N186" s="10" t="n"/>
      <c r="O186" s="10" t="n"/>
      <c r="P186" s="10" t="n"/>
      <c r="Q186" s="10" t="n"/>
      <c r="R186" s="11" t="n"/>
      <c r="S186" s="11" t="n"/>
    </row>
    <row r="187" ht="49.5" customFormat="1" customHeight="1" s="6">
      <c r="A187" s="21" t="n"/>
      <c r="B187" s="21" t="n"/>
      <c r="C187" s="21" t="n"/>
      <c r="D187" s="20" t="n"/>
      <c r="E187" s="21" t="n"/>
      <c r="F187" s="21" t="n"/>
      <c r="G187" s="20" t="n"/>
      <c r="H187" s="21" t="n"/>
      <c r="I187" s="21" t="n"/>
      <c r="J187" s="21" t="n"/>
      <c r="K187" s="22" t="n"/>
      <c r="L187" s="22" t="n"/>
      <c r="M187" s="22" t="n"/>
      <c r="N187" s="10" t="n"/>
      <c r="O187" s="10" t="n"/>
      <c r="P187" s="10" t="n"/>
      <c r="Q187" s="10" t="n"/>
      <c r="R187" s="11" t="n"/>
      <c r="S187" s="11" t="n"/>
    </row>
    <row r="188" ht="49.5" customFormat="1" customHeight="1" s="6">
      <c r="A188" s="21" t="n"/>
      <c r="B188" s="21" t="n"/>
      <c r="C188" s="21" t="n"/>
      <c r="D188" s="20" t="n"/>
      <c r="E188" s="21" t="n"/>
      <c r="F188" s="21" t="n"/>
      <c r="G188" s="20" t="n"/>
      <c r="H188" s="21" t="n"/>
      <c r="I188" s="21" t="n"/>
      <c r="J188" s="21" t="n"/>
      <c r="K188" s="22" t="n"/>
      <c r="L188" s="22" t="n"/>
      <c r="M188" s="22" t="n"/>
      <c r="N188" s="10" t="n"/>
      <c r="O188" s="10" t="n"/>
      <c r="P188" s="10" t="n"/>
      <c r="Q188" s="10" t="n"/>
      <c r="R188" s="11" t="n"/>
      <c r="S188" s="11" t="n"/>
    </row>
    <row r="189" ht="50.1" customFormat="1" customHeight="1" s="6">
      <c r="A189" s="21" t="n"/>
      <c r="B189" s="21" t="n"/>
      <c r="C189" s="21" t="n"/>
      <c r="D189" s="20" t="n"/>
      <c r="E189" s="21" t="n"/>
      <c r="F189" s="21" t="n"/>
      <c r="G189" s="20" t="n"/>
      <c r="H189" s="21" t="n"/>
      <c r="I189" s="21" t="n"/>
      <c r="J189" s="21" t="n"/>
      <c r="K189" s="22" t="n"/>
      <c r="L189" s="22" t="n"/>
      <c r="M189" s="22" t="n"/>
      <c r="N189" s="10" t="n"/>
      <c r="O189" s="10" t="n"/>
      <c r="P189" s="10" t="n"/>
      <c r="Q189" s="10" t="n"/>
      <c r="R189" s="11" t="n"/>
      <c r="S189" s="11" t="n"/>
    </row>
    <row r="190" ht="50.1" customFormat="1" customHeight="1" s="6">
      <c r="A190" s="21" t="n"/>
      <c r="B190" s="21" t="n"/>
      <c r="C190" s="21" t="n"/>
      <c r="D190" s="20" t="n"/>
      <c r="E190" s="21" t="n"/>
      <c r="F190" s="21" t="n"/>
      <c r="G190" s="20" t="n"/>
      <c r="H190" s="21" t="n"/>
      <c r="I190" s="21" t="n"/>
      <c r="J190" s="21" t="n"/>
      <c r="K190" s="22" t="n"/>
      <c r="L190" s="22" t="n"/>
      <c r="M190" s="22" t="n"/>
      <c r="N190" s="10" t="n"/>
      <c r="O190" s="10" t="n"/>
      <c r="P190" s="10" t="n"/>
      <c r="Q190" s="10" t="n"/>
      <c r="R190" s="11" t="n"/>
      <c r="S190" s="11" t="n"/>
    </row>
    <row r="191" ht="50.1" customFormat="1" customHeight="1" s="6">
      <c r="A191" s="21" t="n"/>
      <c r="B191" s="21" t="n"/>
      <c r="C191" s="21" t="n"/>
      <c r="D191" s="20" t="n"/>
      <c r="E191" s="21" t="n"/>
      <c r="F191" s="21" t="n"/>
      <c r="G191" s="20" t="n"/>
      <c r="H191" s="21" t="n"/>
      <c r="I191" s="21" t="n"/>
      <c r="J191" s="21" t="n"/>
      <c r="K191" s="22" t="n"/>
      <c r="L191" s="22" t="n"/>
      <c r="M191" s="22" t="n"/>
      <c r="N191" s="10" t="n"/>
      <c r="O191" s="10" t="n"/>
      <c r="P191" s="10" t="n"/>
      <c r="Q191" s="10" t="n"/>
      <c r="R191" s="11" t="n"/>
      <c r="S191" s="11" t="n"/>
    </row>
    <row r="192" ht="50.1" customFormat="1" customHeight="1" s="6">
      <c r="A192" s="21" t="n"/>
      <c r="B192" s="21" t="n"/>
      <c r="C192" s="21" t="n"/>
      <c r="D192" s="20" t="n"/>
      <c r="E192" s="21" t="n"/>
      <c r="F192" s="21" t="n"/>
      <c r="G192" s="20" t="n"/>
      <c r="H192" s="21" t="n"/>
      <c r="I192" s="21" t="n"/>
      <c r="J192" s="21" t="n"/>
      <c r="K192" s="22" t="n"/>
      <c r="L192" s="22" t="n"/>
      <c r="M192" s="22" t="n"/>
      <c r="N192" s="10" t="n"/>
      <c r="O192" s="10" t="n"/>
      <c r="P192" s="10" t="n"/>
      <c r="Q192" s="10" t="n"/>
      <c r="R192" s="11" t="n"/>
      <c r="S192" s="11" t="n"/>
    </row>
    <row r="193" ht="50.1" customFormat="1" customHeight="1" s="6">
      <c r="A193" s="21" t="n"/>
      <c r="B193" s="21" t="n"/>
      <c r="C193" s="21" t="n"/>
      <c r="D193" s="20" t="n"/>
      <c r="E193" s="21" t="n"/>
      <c r="F193" s="21" t="n"/>
      <c r="G193" s="20" t="n"/>
      <c r="H193" s="21" t="n"/>
      <c r="I193" s="21" t="n"/>
      <c r="J193" s="21" t="n"/>
      <c r="K193" s="22" t="n"/>
      <c r="L193" s="22" t="n"/>
      <c r="M193" s="22" t="n"/>
      <c r="N193" s="10" t="n"/>
      <c r="O193" s="10" t="n"/>
      <c r="P193" s="10" t="n"/>
      <c r="Q193" s="10" t="n"/>
      <c r="R193" s="11" t="n"/>
      <c r="S193" s="11" t="n"/>
    </row>
    <row r="194" ht="50.1" customFormat="1" customHeight="1" s="6">
      <c r="A194" s="21" t="n"/>
      <c r="B194" s="21" t="n"/>
      <c r="C194" s="21" t="n"/>
      <c r="D194" s="20" t="n"/>
      <c r="E194" s="21" t="n"/>
      <c r="F194" s="21" t="n"/>
      <c r="G194" s="20" t="n"/>
      <c r="H194" s="21" t="n"/>
      <c r="I194" s="21" t="n"/>
      <c r="J194" s="21" t="n"/>
      <c r="K194" s="22" t="n"/>
      <c r="L194" s="22" t="n"/>
      <c r="M194" s="22" t="n"/>
      <c r="N194" s="10" t="n"/>
      <c r="O194" s="10" t="n"/>
      <c r="P194" s="10" t="n"/>
      <c r="Q194" s="10" t="n"/>
      <c r="R194" s="11" t="n"/>
      <c r="S194" s="11" t="n"/>
    </row>
    <row r="195" ht="50.1" customFormat="1" customHeight="1" s="6">
      <c r="A195" s="21" t="n"/>
      <c r="B195" s="21" t="n"/>
      <c r="C195" s="21" t="n"/>
      <c r="D195" s="20" t="n"/>
      <c r="E195" s="21" t="n"/>
      <c r="F195" s="21" t="n"/>
      <c r="G195" s="20" t="n"/>
      <c r="H195" s="21" t="n"/>
      <c r="I195" s="21" t="n"/>
      <c r="J195" s="21" t="n"/>
      <c r="K195" s="22" t="n"/>
      <c r="L195" s="22" t="n"/>
      <c r="M195" s="22" t="n"/>
      <c r="N195" s="10" t="n"/>
      <c r="O195" s="10" t="n"/>
      <c r="P195" s="10" t="n"/>
      <c r="Q195" s="10" t="n"/>
      <c r="R195" s="11" t="n"/>
      <c r="S195" s="11" t="n"/>
    </row>
    <row r="196" ht="50.1" customFormat="1" customHeight="1" s="6">
      <c r="A196" s="21" t="n"/>
      <c r="B196" s="21" t="n"/>
      <c r="C196" s="21" t="n"/>
      <c r="D196" s="20" t="n"/>
      <c r="E196" s="21" t="n"/>
      <c r="F196" s="21" t="n"/>
      <c r="G196" s="20" t="n"/>
      <c r="H196" s="21" t="n"/>
      <c r="I196" s="21" t="n"/>
      <c r="J196" s="21" t="n"/>
      <c r="K196" s="22" t="n"/>
      <c r="L196" s="22" t="n"/>
      <c r="M196" s="22" t="n"/>
      <c r="N196" s="10" t="n"/>
      <c r="O196" s="10" t="n"/>
      <c r="P196" s="10" t="n"/>
      <c r="Q196" s="10" t="n"/>
      <c r="R196" s="11" t="n"/>
      <c r="S196" s="11" t="n"/>
    </row>
    <row r="197" ht="50.1" customFormat="1" customHeight="1" s="6">
      <c r="A197" s="21" t="n"/>
      <c r="B197" s="21" t="n"/>
      <c r="C197" s="21" t="n"/>
      <c r="D197" s="20" t="n"/>
      <c r="E197" s="21" t="n"/>
      <c r="F197" s="21" t="n"/>
      <c r="G197" s="20" t="n"/>
      <c r="H197" s="21" t="n"/>
      <c r="I197" s="21" t="n"/>
      <c r="J197" s="21" t="n"/>
      <c r="K197" s="22" t="n"/>
      <c r="L197" s="22" t="n"/>
      <c r="M197" s="22" t="n"/>
      <c r="N197" s="10" t="n"/>
      <c r="O197" s="10" t="n"/>
      <c r="P197" s="10" t="n"/>
      <c r="Q197" s="10" t="n"/>
      <c r="R197" s="11" t="n"/>
      <c r="S197" s="11" t="n"/>
    </row>
    <row r="198" ht="50.1" customFormat="1" customHeight="1" s="6">
      <c r="A198" s="21" t="n"/>
      <c r="B198" s="21" t="n"/>
      <c r="C198" s="21" t="n"/>
      <c r="D198" s="20" t="n"/>
      <c r="E198" s="21" t="n"/>
      <c r="F198" s="21" t="n"/>
      <c r="G198" s="20" t="n"/>
      <c r="H198" s="21" t="n"/>
      <c r="I198" s="21" t="n"/>
      <c r="J198" s="21" t="n"/>
      <c r="K198" s="22" t="n"/>
      <c r="L198" s="22" t="n"/>
      <c r="M198" s="22" t="n"/>
      <c r="N198" s="10" t="n"/>
      <c r="O198" s="10" t="n"/>
      <c r="P198" s="10" t="n"/>
      <c r="Q198" s="10" t="n"/>
      <c r="R198" s="11" t="n"/>
      <c r="S198" s="11" t="n"/>
    </row>
    <row r="199" ht="50.1" customFormat="1" customHeight="1" s="6">
      <c r="A199" s="21" t="n"/>
      <c r="B199" s="35" t="n"/>
      <c r="C199" s="35" t="n"/>
      <c r="D199" s="20" t="n"/>
      <c r="E199" s="21" t="n"/>
      <c r="F199" s="21" t="n"/>
      <c r="G199" s="20" t="n"/>
      <c r="H199" s="21" t="n"/>
      <c r="I199" s="21" t="n"/>
      <c r="J199" s="21" t="n"/>
      <c r="K199" s="22" t="n"/>
      <c r="L199" s="22" t="n"/>
      <c r="M199" s="22" t="n"/>
      <c r="N199" s="10" t="n"/>
      <c r="O199" s="10" t="n"/>
      <c r="P199" s="10" t="n"/>
      <c r="Q199" s="10" t="n"/>
      <c r="R199" s="11" t="n"/>
      <c r="S199" s="11" t="n"/>
    </row>
    <row r="200" ht="50.1" customFormat="1" customHeight="1" s="6">
      <c r="A200" s="21" t="n"/>
      <c r="B200" s="35" t="n"/>
      <c r="C200" s="35" t="n"/>
      <c r="D200" s="20" t="n"/>
      <c r="E200" s="21" t="n"/>
      <c r="F200" s="21" t="n"/>
      <c r="G200" s="20" t="n"/>
      <c r="H200" s="21" t="n"/>
      <c r="I200" s="21" t="n"/>
      <c r="J200" s="21" t="n"/>
      <c r="K200" s="22" t="n"/>
      <c r="L200" s="22" t="n"/>
      <c r="M200" s="22" t="n"/>
      <c r="N200" s="10" t="n"/>
      <c r="O200" s="10" t="n"/>
      <c r="P200" s="10" t="n"/>
      <c r="Q200" s="10" t="n"/>
      <c r="R200" s="11" t="n"/>
      <c r="S200" s="11" t="n"/>
    </row>
    <row r="201" ht="50.1" customFormat="1" customHeight="1" s="6">
      <c r="A201" s="21" t="n"/>
      <c r="B201" s="35" t="n"/>
      <c r="C201" s="35" t="n"/>
      <c r="D201" s="20" t="n"/>
      <c r="E201" s="21" t="n"/>
      <c r="F201" s="21" t="n"/>
      <c r="G201" s="20" t="n"/>
      <c r="H201" s="21" t="n"/>
      <c r="I201" s="21" t="n"/>
      <c r="J201" s="21" t="n"/>
      <c r="K201" s="22" t="n"/>
      <c r="L201" s="22" t="n"/>
      <c r="M201" s="22" t="n"/>
      <c r="N201" s="10" t="n"/>
      <c r="O201" s="10" t="n"/>
      <c r="P201" s="10" t="n"/>
      <c r="Q201" s="10" t="n"/>
      <c r="R201" s="11" t="n"/>
      <c r="S201" s="11" t="n"/>
    </row>
    <row r="202" ht="50.1" customFormat="1" customHeight="1" s="6">
      <c r="A202" s="21" t="n"/>
      <c r="B202" s="35" t="n"/>
      <c r="C202" s="36" t="n"/>
      <c r="D202" s="21" t="n"/>
      <c r="E202" s="20" t="n"/>
      <c r="F202" s="20" t="n"/>
      <c r="G202" s="21" t="n"/>
      <c r="H202" s="21" t="n"/>
      <c r="I202" s="21" t="n"/>
      <c r="J202" s="21" t="n"/>
      <c r="K202" s="22" t="n"/>
      <c r="L202" s="22" t="n"/>
      <c r="M202" s="22" t="n"/>
      <c r="N202" s="10" t="n"/>
      <c r="O202" s="10" t="n"/>
      <c r="P202" s="10" t="n"/>
      <c r="Q202" s="10" t="n"/>
      <c r="R202" s="11" t="n"/>
      <c r="S202" s="11" t="n"/>
    </row>
    <row r="203" ht="50.1" customFormat="1" customHeight="1" s="6">
      <c r="A203" s="21" t="n"/>
      <c r="B203" s="35" t="n"/>
      <c r="C203" s="36" t="n"/>
      <c r="D203" s="21" t="n"/>
      <c r="E203" s="20" t="n"/>
      <c r="F203" s="20" t="n"/>
      <c r="G203" s="21" t="n"/>
      <c r="H203" s="21" t="n"/>
      <c r="I203" s="21" t="n"/>
      <c r="J203" s="21" t="n"/>
      <c r="K203" s="22" t="n"/>
      <c r="L203" s="22" t="n"/>
      <c r="M203" s="22" t="n"/>
      <c r="N203" s="10" t="n"/>
      <c r="O203" s="10" t="n"/>
      <c r="P203" s="10" t="n"/>
      <c r="Q203" s="10" t="n"/>
      <c r="R203" s="11" t="n"/>
      <c r="S203" s="11" t="n"/>
    </row>
    <row r="204" ht="49.5" customFormat="1" customHeight="1" s="6">
      <c r="A204" s="21" t="n"/>
      <c r="B204" s="35" t="n"/>
      <c r="C204" s="21" t="n"/>
      <c r="D204" s="20" t="n"/>
      <c r="E204" s="21" t="n"/>
      <c r="F204" s="21" t="n"/>
      <c r="G204" s="20" t="n"/>
      <c r="H204" s="21" t="n"/>
      <c r="I204" s="21" t="n"/>
      <c r="J204" s="21" t="n"/>
      <c r="K204" s="22" t="n"/>
      <c r="L204" s="22" t="n"/>
      <c r="M204" s="22" t="n"/>
      <c r="N204" s="10" t="n"/>
      <c r="O204" s="10" t="n"/>
      <c r="P204" s="10" t="n"/>
      <c r="Q204" s="10" t="n"/>
      <c r="R204" s="11" t="n"/>
      <c r="S204" s="11" t="n"/>
    </row>
    <row r="205" ht="49.5" customFormat="1" customHeight="1" s="6">
      <c r="A205" s="21" t="n"/>
      <c r="B205" s="35" t="n"/>
      <c r="C205" s="21" t="n"/>
      <c r="D205" s="20" t="n"/>
      <c r="E205" s="21" t="n"/>
      <c r="F205" s="21" t="n"/>
      <c r="G205" s="20" t="n"/>
      <c r="H205" s="21" t="n"/>
      <c r="I205" s="21" t="n"/>
      <c r="J205" s="21" t="n"/>
      <c r="K205" s="22" t="n"/>
      <c r="L205" s="22" t="n"/>
      <c r="M205" s="22" t="n"/>
      <c r="N205" s="10" t="n"/>
      <c r="O205" s="10" t="n"/>
      <c r="P205" s="10" t="n"/>
      <c r="Q205" s="10" t="n"/>
      <c r="R205" s="11" t="n"/>
      <c r="S205" s="11" t="n"/>
    </row>
    <row r="206" ht="49.5" customFormat="1" customHeight="1" s="6">
      <c r="A206" s="21" t="n"/>
      <c r="B206" s="35" t="n"/>
      <c r="C206" s="21" t="n"/>
      <c r="D206" s="20" t="n"/>
      <c r="E206" s="21" t="n"/>
      <c r="F206" s="21" t="n"/>
      <c r="G206" s="20" t="n"/>
      <c r="H206" s="21" t="n"/>
      <c r="I206" s="21" t="n"/>
      <c r="J206" s="21" t="n"/>
      <c r="K206" s="22" t="n"/>
      <c r="L206" s="22" t="n"/>
      <c r="M206" s="22" t="n"/>
      <c r="N206" s="10" t="n"/>
      <c r="O206" s="10" t="n"/>
      <c r="P206" s="10" t="n"/>
      <c r="Q206" s="10" t="n"/>
      <c r="R206" s="11" t="n"/>
      <c r="S206" s="11" t="n"/>
    </row>
    <row r="207" ht="49.5" customFormat="1" customHeight="1" s="6">
      <c r="A207" s="21" t="n"/>
      <c r="B207" s="35" t="n"/>
      <c r="C207" s="21" t="n"/>
      <c r="D207" s="20" t="n"/>
      <c r="E207" s="21" t="n"/>
      <c r="F207" s="21" t="n"/>
      <c r="G207" s="20" t="n"/>
      <c r="H207" s="21" t="n"/>
      <c r="I207" s="21" t="n"/>
      <c r="J207" s="21" t="n"/>
      <c r="K207" s="22" t="n"/>
      <c r="L207" s="22" t="n"/>
      <c r="M207" s="22" t="n"/>
      <c r="N207" s="10" t="n"/>
      <c r="O207" s="10" t="n"/>
      <c r="P207" s="10" t="n"/>
      <c r="Q207" s="10" t="n"/>
      <c r="R207" s="11" t="n"/>
      <c r="S207" s="11" t="n"/>
    </row>
    <row r="208" ht="49.5" customFormat="1" customHeight="1" s="6">
      <c r="A208" s="21" t="n"/>
      <c r="B208" s="35" t="n"/>
      <c r="C208" s="21" t="n"/>
      <c r="D208" s="20" t="n"/>
      <c r="E208" s="21" t="n"/>
      <c r="F208" s="21" t="n"/>
      <c r="G208" s="20" t="n"/>
      <c r="H208" s="21" t="n"/>
      <c r="I208" s="21" t="n"/>
      <c r="J208" s="21" t="n"/>
      <c r="K208" s="22" t="n"/>
      <c r="L208" s="22" t="n"/>
      <c r="M208" s="22" t="n"/>
      <c r="N208" s="10" t="n"/>
      <c r="O208" s="10" t="n"/>
      <c r="P208" s="10" t="n"/>
      <c r="Q208" s="10" t="n"/>
      <c r="R208" s="11" t="n"/>
      <c r="S208" s="11" t="n"/>
    </row>
    <row r="209" ht="49.5" customFormat="1" customHeight="1" s="6">
      <c r="A209" s="21" t="n"/>
      <c r="B209" s="35" t="n"/>
      <c r="C209" s="21" t="n"/>
      <c r="D209" s="20" t="n"/>
      <c r="E209" s="21" t="n"/>
      <c r="F209" s="21" t="n"/>
      <c r="G209" s="20" t="n"/>
      <c r="H209" s="21" t="n"/>
      <c r="I209" s="21" t="n"/>
      <c r="J209" s="21" t="n"/>
      <c r="K209" s="22" t="n"/>
      <c r="L209" s="22" t="n"/>
      <c r="M209" s="22" t="n"/>
      <c r="N209" s="10" t="n"/>
      <c r="O209" s="10" t="n"/>
      <c r="P209" s="10" t="n"/>
      <c r="Q209" s="10" t="n"/>
      <c r="R209" s="11" t="n"/>
      <c r="S209" s="11" t="n"/>
    </row>
    <row r="210" ht="49.5" customFormat="1" customHeight="1" s="6">
      <c r="A210" s="21" t="n"/>
      <c r="B210" s="35" t="n"/>
      <c r="C210" s="21" t="n"/>
      <c r="D210" s="20" t="n"/>
      <c r="E210" s="21" t="n"/>
      <c r="F210" s="21" t="n"/>
      <c r="G210" s="20" t="n"/>
      <c r="H210" s="21" t="n"/>
      <c r="I210" s="21" t="n"/>
      <c r="J210" s="21" t="n"/>
      <c r="K210" s="22" t="n"/>
      <c r="L210" s="22" t="n"/>
      <c r="M210" s="22" t="n"/>
      <c r="N210" s="10" t="n"/>
      <c r="O210" s="10" t="n"/>
      <c r="P210" s="10" t="n"/>
      <c r="Q210" s="10" t="n"/>
      <c r="R210" s="11" t="n"/>
      <c r="S210" s="11" t="n"/>
    </row>
    <row r="211" ht="49.5" customFormat="1" customHeight="1" s="6">
      <c r="A211" s="21" t="n"/>
      <c r="B211" s="35" t="n"/>
      <c r="C211" s="21" t="n"/>
      <c r="D211" s="20" t="n"/>
      <c r="E211" s="21" t="n"/>
      <c r="F211" s="21" t="n"/>
      <c r="G211" s="20" t="n"/>
      <c r="H211" s="21" t="n"/>
      <c r="I211" s="21" t="n"/>
      <c r="J211" s="21" t="n"/>
      <c r="K211" s="22" t="n"/>
      <c r="L211" s="22" t="n"/>
      <c r="M211" s="22" t="n"/>
      <c r="N211" s="10" t="n"/>
      <c r="O211" s="10" t="n"/>
      <c r="P211" s="10" t="n"/>
      <c r="Q211" s="10" t="n"/>
      <c r="R211" s="11" t="n"/>
      <c r="S211" s="11" t="n"/>
    </row>
    <row r="212" ht="49.5" customFormat="1" customHeight="1" s="6">
      <c r="A212" s="21" t="n"/>
      <c r="B212" s="35" t="n"/>
      <c r="C212" s="21" t="n"/>
      <c r="D212" s="20" t="n"/>
      <c r="E212" s="21" t="n"/>
      <c r="F212" s="21" t="n"/>
      <c r="G212" s="20" t="n"/>
      <c r="H212" s="21" t="n"/>
      <c r="I212" s="21" t="n"/>
      <c r="J212" s="21" t="n"/>
      <c r="K212" s="22" t="n"/>
      <c r="L212" s="22" t="n"/>
      <c r="M212" s="22" t="n"/>
      <c r="N212" s="10" t="n"/>
      <c r="O212" s="10" t="n"/>
      <c r="P212" s="10" t="n"/>
      <c r="Q212" s="10" t="n"/>
      <c r="R212" s="11" t="n"/>
      <c r="S212" s="11" t="n"/>
    </row>
    <row r="213" ht="50.1" customFormat="1" customHeight="1" s="6">
      <c r="A213" s="21" t="n"/>
      <c r="B213" s="35" t="n"/>
      <c r="C213" s="36" t="n"/>
      <c r="D213" s="21" t="n"/>
      <c r="E213" s="20" t="n"/>
      <c r="F213" s="20" t="n"/>
      <c r="G213" s="21" t="n"/>
      <c r="H213" s="21" t="n"/>
      <c r="I213" s="21" t="n"/>
      <c r="J213" s="21" t="n"/>
      <c r="K213" s="22" t="n"/>
      <c r="L213" s="22" t="n"/>
      <c r="M213" s="22" t="n"/>
      <c r="N213" s="10" t="n"/>
      <c r="O213" s="10" t="n"/>
      <c r="P213" s="10" t="n"/>
      <c r="Q213" s="10" t="n"/>
      <c r="R213" s="11" t="n"/>
      <c r="S213" s="11" t="n"/>
    </row>
    <row r="214" ht="50.1" customFormat="1" customHeight="1" s="6">
      <c r="A214" s="21" t="n"/>
      <c r="B214" s="35" t="n"/>
      <c r="C214" s="36" t="n"/>
      <c r="D214" s="21" t="n"/>
      <c r="E214" s="20" t="n"/>
      <c r="F214" s="20" t="n"/>
      <c r="G214" s="21" t="n"/>
      <c r="H214" s="21" t="n"/>
      <c r="I214" s="21" t="n"/>
      <c r="J214" s="21" t="n"/>
      <c r="K214" s="22" t="n"/>
      <c r="L214" s="22" t="n"/>
      <c r="M214" s="22" t="n"/>
      <c r="N214" s="10" t="n"/>
      <c r="O214" s="10" t="n"/>
      <c r="P214" s="10" t="n"/>
      <c r="Q214" s="10" t="n"/>
      <c r="R214" s="11" t="n"/>
      <c r="S214" s="11" t="n"/>
    </row>
    <row r="215" ht="50.1" customFormat="1" customHeight="1" s="6">
      <c r="A215" s="21" t="n"/>
      <c r="B215" s="35" t="n"/>
      <c r="C215" s="36" t="n"/>
      <c r="D215" s="21" t="n"/>
      <c r="E215" s="20" t="n"/>
      <c r="F215" s="20" t="n"/>
      <c r="G215" s="21" t="n"/>
      <c r="H215" s="21" t="n"/>
      <c r="I215" s="21" t="n"/>
      <c r="J215" s="21" t="n"/>
      <c r="K215" s="22" t="n"/>
      <c r="L215" s="22" t="n"/>
      <c r="M215" s="22" t="n"/>
      <c r="N215" s="10" t="n"/>
      <c r="O215" s="10" t="n"/>
      <c r="P215" s="10" t="n"/>
      <c r="Q215" s="10" t="n"/>
      <c r="R215" s="11" t="n"/>
      <c r="S215" s="11" t="n"/>
    </row>
    <row r="216" ht="50.1" customFormat="1" customHeight="1" s="6">
      <c r="A216" s="21" t="n"/>
      <c r="B216" s="35" t="n"/>
      <c r="C216" s="36" t="n"/>
      <c r="D216" s="21" t="n"/>
      <c r="E216" s="20" t="n"/>
      <c r="F216" s="20" t="n"/>
      <c r="G216" s="21" t="n"/>
      <c r="H216" s="21" t="n"/>
      <c r="I216" s="21" t="n"/>
      <c r="J216" s="21" t="n"/>
      <c r="K216" s="22" t="n"/>
      <c r="L216" s="22" t="n"/>
      <c r="M216" s="22" t="n"/>
      <c r="N216" s="10" t="n"/>
      <c r="O216" s="10" t="n"/>
      <c r="P216" s="10" t="n"/>
      <c r="Q216" s="10" t="n"/>
      <c r="R216" s="11" t="n"/>
      <c r="S216" s="11" t="n"/>
    </row>
    <row r="217" ht="50.1" customFormat="1" customHeight="1" s="6">
      <c r="A217" s="21" t="n"/>
      <c r="B217" s="35" t="n"/>
      <c r="C217" s="36" t="n"/>
      <c r="D217" s="21" t="n"/>
      <c r="E217" s="20" t="n"/>
      <c r="F217" s="20" t="n"/>
      <c r="G217" s="21" t="n"/>
      <c r="H217" s="21" t="n"/>
      <c r="I217" s="21" t="n"/>
      <c r="J217" s="21" t="n"/>
      <c r="K217" s="22" t="n"/>
      <c r="L217" s="22" t="n"/>
      <c r="M217" s="22" t="n"/>
      <c r="N217" s="10" t="n"/>
      <c r="O217" s="10" t="n"/>
      <c r="P217" s="10" t="n"/>
      <c r="Q217" s="10" t="n"/>
      <c r="R217" s="11" t="n"/>
      <c r="S217" s="11" t="n"/>
    </row>
    <row r="218" ht="50.1" customFormat="1" customHeight="1" s="6">
      <c r="A218" s="21" t="n"/>
      <c r="B218" s="35" t="n"/>
      <c r="C218" s="36" t="n"/>
      <c r="D218" s="21" t="n"/>
      <c r="E218" s="20" t="n"/>
      <c r="F218" s="20" t="n"/>
      <c r="G218" s="21" t="n"/>
      <c r="H218" s="21" t="n"/>
      <c r="I218" s="21" t="n"/>
      <c r="J218" s="21" t="n"/>
      <c r="K218" s="22" t="n"/>
      <c r="L218" s="22" t="n"/>
      <c r="M218" s="22" t="n"/>
      <c r="N218" s="10" t="n"/>
      <c r="O218" s="10" t="n"/>
      <c r="P218" s="10" t="n"/>
      <c r="Q218" s="10" t="n"/>
      <c r="R218" s="11" t="n"/>
      <c r="S218" s="11" t="n"/>
    </row>
    <row r="219" ht="50.1" customFormat="1" customHeight="1" s="6">
      <c r="A219" s="21" t="n"/>
      <c r="B219" s="35" t="n"/>
      <c r="C219" s="36" t="n"/>
      <c r="D219" s="21" t="n"/>
      <c r="E219" s="20" t="n"/>
      <c r="F219" s="20" t="n"/>
      <c r="G219" s="21" t="n"/>
      <c r="H219" s="21" t="n"/>
      <c r="I219" s="21" t="n"/>
      <c r="J219" s="21" t="n"/>
      <c r="K219" s="22" t="n"/>
      <c r="L219" s="22" t="n"/>
      <c r="M219" s="22" t="n"/>
      <c r="N219" s="10" t="n"/>
      <c r="O219" s="10" t="n"/>
      <c r="P219" s="10" t="n"/>
      <c r="Q219" s="10" t="n"/>
      <c r="R219" s="11" t="n"/>
      <c r="S219" s="11" t="n"/>
    </row>
    <row r="220" ht="50.1" customFormat="1" customHeight="1" s="6">
      <c r="A220" s="21" t="n"/>
      <c r="B220" s="35" t="n"/>
      <c r="C220" s="36" t="n"/>
      <c r="D220" s="21" t="n"/>
      <c r="E220" s="20" t="n"/>
      <c r="F220" s="20" t="n"/>
      <c r="G220" s="21" t="n"/>
      <c r="H220" s="21" t="n"/>
      <c r="I220" s="21" t="n"/>
      <c r="J220" s="21" t="n"/>
      <c r="K220" s="22" t="n"/>
      <c r="L220" s="22" t="n"/>
      <c r="M220" s="22" t="n"/>
      <c r="N220" s="10" t="n"/>
      <c r="O220" s="10" t="n"/>
      <c r="P220" s="10" t="n"/>
      <c r="Q220" s="10" t="n"/>
      <c r="R220" s="11" t="n"/>
      <c r="S220" s="11" t="n"/>
    </row>
    <row r="221" ht="50.1" customFormat="1" customHeight="1" s="6">
      <c r="A221" s="21" t="n"/>
      <c r="B221" s="35" t="n"/>
      <c r="C221" s="36" t="n"/>
      <c r="D221" s="21" t="n"/>
      <c r="E221" s="20" t="n"/>
      <c r="F221" s="20" t="n"/>
      <c r="G221" s="21" t="n"/>
      <c r="H221" s="21" t="n"/>
      <c r="I221" s="21" t="n"/>
      <c r="J221" s="21" t="n"/>
      <c r="K221" s="22" t="n"/>
      <c r="L221" s="22" t="n"/>
      <c r="M221" s="22" t="n"/>
      <c r="N221" s="10" t="n"/>
      <c r="O221" s="10" t="n"/>
      <c r="P221" s="10" t="n"/>
      <c r="Q221" s="10" t="n"/>
      <c r="R221" s="11" t="n"/>
      <c r="S221" s="11" t="n"/>
    </row>
    <row r="222" ht="50.1" customFormat="1" customHeight="1" s="6">
      <c r="A222" s="21" t="n"/>
      <c r="B222" s="35" t="n"/>
      <c r="C222" s="36" t="n"/>
      <c r="D222" s="21" t="n"/>
      <c r="E222" s="20" t="n"/>
      <c r="F222" s="20" t="n"/>
      <c r="G222" s="21" t="n"/>
      <c r="H222" s="21" t="n"/>
      <c r="I222" s="21" t="n"/>
      <c r="J222" s="21" t="n"/>
      <c r="K222" s="22" t="n"/>
      <c r="L222" s="22" t="n"/>
      <c r="M222" s="22" t="n"/>
      <c r="N222" s="10" t="n"/>
      <c r="O222" s="10" t="n"/>
      <c r="P222" s="10" t="n"/>
      <c r="Q222" s="10" t="n"/>
      <c r="R222" s="11" t="n"/>
      <c r="S222" s="11" t="n"/>
    </row>
    <row r="223" ht="50.1" customFormat="1" customHeight="1" s="6">
      <c r="A223" s="21" t="n"/>
      <c r="B223" s="35" t="n"/>
      <c r="C223" s="36" t="n"/>
      <c r="D223" s="21" t="n"/>
      <c r="E223" s="20" t="n"/>
      <c r="F223" s="20" t="n"/>
      <c r="G223" s="21" t="n"/>
      <c r="H223" s="21" t="n"/>
      <c r="I223" s="21" t="n"/>
      <c r="J223" s="21" t="n"/>
      <c r="K223" s="22" t="n"/>
      <c r="L223" s="22" t="n"/>
      <c r="M223" s="22" t="n"/>
      <c r="N223" s="10" t="n"/>
      <c r="O223" s="10" t="n"/>
      <c r="P223" s="10" t="n"/>
      <c r="Q223" s="10" t="n"/>
      <c r="R223" s="11" t="n"/>
      <c r="S223" s="11" t="n"/>
    </row>
    <row r="224" ht="50.1" customFormat="1" customHeight="1" s="6">
      <c r="A224" s="21" t="n"/>
      <c r="B224" s="35" t="n"/>
      <c r="C224" s="36" t="n"/>
      <c r="D224" s="21" t="n"/>
      <c r="E224" s="20" t="n"/>
      <c r="F224" s="20" t="n"/>
      <c r="G224" s="21" t="n"/>
      <c r="H224" s="21" t="n"/>
      <c r="I224" s="21" t="n"/>
      <c r="J224" s="21" t="n"/>
      <c r="K224" s="22" t="n"/>
      <c r="L224" s="22" t="n"/>
      <c r="M224" s="22" t="n"/>
      <c r="N224" s="10" t="n"/>
      <c r="O224" s="10" t="n"/>
      <c r="P224" s="10" t="n"/>
      <c r="Q224" s="10" t="n"/>
      <c r="R224" s="11" t="n"/>
      <c r="S224" s="11" t="n"/>
    </row>
    <row r="225" ht="50.1" customFormat="1" customHeight="1" s="6">
      <c r="A225" s="21" t="n"/>
      <c r="B225" s="35" t="n"/>
      <c r="C225" s="36" t="n"/>
      <c r="D225" s="21" t="n"/>
      <c r="E225" s="20" t="n"/>
      <c r="F225" s="20" t="n"/>
      <c r="G225" s="21" t="n"/>
      <c r="H225" s="21" t="n"/>
      <c r="I225" s="21" t="n"/>
      <c r="J225" s="21" t="n"/>
      <c r="K225" s="22" t="n"/>
      <c r="L225" s="22" t="n"/>
      <c r="M225" s="22" t="n"/>
      <c r="N225" s="10" t="n"/>
      <c r="O225" s="10" t="n"/>
      <c r="P225" s="10" t="n"/>
      <c r="Q225" s="10" t="n"/>
      <c r="R225" s="11" t="n"/>
      <c r="S225" s="11" t="n"/>
    </row>
    <row r="226" ht="50.1" customFormat="1" customHeight="1" s="6">
      <c r="A226" s="21" t="n"/>
      <c r="B226" s="35" t="n"/>
      <c r="C226" s="36" t="n"/>
      <c r="D226" s="21" t="n"/>
      <c r="E226" s="20" t="n"/>
      <c r="F226" s="20" t="n"/>
      <c r="G226" s="21" t="n"/>
      <c r="H226" s="21" t="n"/>
      <c r="I226" s="21" t="n"/>
      <c r="J226" s="21" t="n"/>
      <c r="K226" s="22" t="n"/>
      <c r="L226" s="22" t="n"/>
      <c r="M226" s="22" t="n"/>
      <c r="N226" s="10" t="n"/>
      <c r="O226" s="10" t="n"/>
      <c r="P226" s="10" t="n"/>
      <c r="Q226" s="10" t="n"/>
      <c r="R226" s="11" t="n"/>
      <c r="S226" s="11" t="n"/>
    </row>
    <row r="227" ht="50.1" customFormat="1" customHeight="1" s="6">
      <c r="A227" s="21" t="n"/>
      <c r="B227" s="35" t="n"/>
      <c r="C227" s="36" t="n"/>
      <c r="D227" s="21" t="n"/>
      <c r="E227" s="20" t="n"/>
      <c r="F227" s="20" t="n"/>
      <c r="G227" s="21" t="n"/>
      <c r="H227" s="21" t="n"/>
      <c r="I227" s="21" t="n"/>
      <c r="J227" s="21" t="n"/>
      <c r="K227" s="22" t="n"/>
      <c r="L227" s="22" t="n"/>
      <c r="M227" s="22" t="n"/>
      <c r="N227" s="10" t="n"/>
      <c r="O227" s="10" t="n"/>
      <c r="P227" s="10" t="n"/>
      <c r="Q227" s="10" t="n"/>
      <c r="R227" s="11" t="n"/>
      <c r="S227" s="11" t="n"/>
    </row>
    <row r="228" ht="50.1" customFormat="1" customHeight="1" s="6">
      <c r="A228" s="21" t="n"/>
      <c r="B228" s="35" t="n"/>
      <c r="C228" s="36" t="n"/>
      <c r="D228" s="21" t="n"/>
      <c r="E228" s="20" t="n"/>
      <c r="F228" s="20" t="n"/>
      <c r="G228" s="21" t="n"/>
      <c r="H228" s="21" t="n"/>
      <c r="I228" s="21" t="n"/>
      <c r="J228" s="21" t="n"/>
      <c r="K228" s="22" t="n"/>
      <c r="L228" s="22" t="n"/>
      <c r="M228" s="22" t="n"/>
      <c r="N228" s="10" t="n"/>
      <c r="O228" s="10" t="n"/>
      <c r="P228" s="10" t="n"/>
      <c r="Q228" s="10" t="n"/>
      <c r="R228" s="11" t="n"/>
      <c r="S228" s="11" t="n"/>
    </row>
    <row r="229" ht="49.5" customFormat="1" customHeight="1" s="6">
      <c r="A229" s="21" t="n"/>
      <c r="B229" s="35" t="n"/>
      <c r="C229" s="36" t="n"/>
      <c r="D229" s="21" t="n"/>
      <c r="E229" s="20" t="n"/>
      <c r="F229" s="20" t="n"/>
      <c r="G229" s="21" t="n"/>
      <c r="H229" s="21" t="n"/>
      <c r="I229" s="21" t="n"/>
      <c r="J229" s="21" t="n"/>
      <c r="K229" s="22" t="n"/>
      <c r="L229" s="22" t="n"/>
      <c r="M229" s="22" t="n"/>
      <c r="N229" s="10" t="n"/>
      <c r="O229" s="10" t="n"/>
      <c r="P229" s="10" t="n"/>
      <c r="Q229" s="10" t="n"/>
      <c r="R229" s="11" t="n"/>
      <c r="S229" s="11" t="n"/>
    </row>
    <row r="230" ht="49.5" customFormat="1" customHeight="1" s="6">
      <c r="A230" s="21" t="n"/>
      <c r="B230" s="35" t="n"/>
      <c r="C230" s="36" t="n"/>
      <c r="D230" s="21" t="n"/>
      <c r="E230" s="20" t="n"/>
      <c r="F230" s="20" t="n"/>
      <c r="G230" s="21" t="n"/>
      <c r="H230" s="21" t="n"/>
      <c r="I230" s="21" t="n"/>
      <c r="J230" s="21" t="n"/>
      <c r="K230" s="22" t="n"/>
      <c r="L230" s="22" t="n"/>
      <c r="M230" s="22" t="n"/>
      <c r="N230" s="10" t="n"/>
      <c r="O230" s="10" t="n"/>
      <c r="P230" s="10" t="n"/>
      <c r="Q230" s="10" t="n"/>
      <c r="R230" s="11" t="n"/>
      <c r="S230" s="11" t="n"/>
    </row>
    <row r="231" ht="49.5" customFormat="1" customHeight="1" s="6">
      <c r="A231" s="21" t="n"/>
      <c r="B231" s="35" t="n"/>
      <c r="C231" s="36" t="n"/>
      <c r="D231" s="21" t="n"/>
      <c r="E231" s="20" t="n"/>
      <c r="F231" s="20" t="n"/>
      <c r="G231" s="21" t="n"/>
      <c r="H231" s="21" t="n"/>
      <c r="I231" s="21" t="n"/>
      <c r="J231" s="21" t="n"/>
      <c r="K231" s="22" t="n"/>
      <c r="L231" s="22" t="n"/>
      <c r="M231" s="22" t="n"/>
      <c r="N231" s="10" t="n"/>
      <c r="O231" s="10" t="n"/>
      <c r="P231" s="10" t="n"/>
      <c r="Q231" s="10" t="n"/>
      <c r="R231" s="11" t="n"/>
      <c r="S231" s="11" t="n"/>
    </row>
    <row r="232" ht="49.5" customFormat="1" customHeight="1" s="6">
      <c r="A232" s="21" t="n"/>
      <c r="B232" s="35" t="n"/>
      <c r="C232" s="36" t="n"/>
      <c r="D232" s="21" t="n"/>
      <c r="E232" s="20" t="n"/>
      <c r="F232" s="20" t="n"/>
      <c r="G232" s="21" t="n"/>
      <c r="H232" s="21" t="n"/>
      <c r="I232" s="21" t="n"/>
      <c r="J232" s="21" t="n"/>
      <c r="K232" s="22" t="n"/>
      <c r="L232" s="22" t="n"/>
      <c r="M232" s="22" t="n"/>
      <c r="N232" s="10" t="n"/>
      <c r="O232" s="10" t="n"/>
      <c r="P232" s="10" t="n"/>
      <c r="Q232" s="10" t="n"/>
      <c r="R232" s="11" t="n"/>
      <c r="S232" s="11" t="n"/>
    </row>
    <row r="233" ht="49.5" customFormat="1" customHeight="1" s="6">
      <c r="A233" s="21" t="n"/>
      <c r="B233" s="35" t="n"/>
      <c r="C233" s="36" t="n"/>
      <c r="D233" s="21" t="n"/>
      <c r="E233" s="20" t="n"/>
      <c r="F233" s="20" t="n"/>
      <c r="G233" s="21" t="n"/>
      <c r="H233" s="21" t="n"/>
      <c r="I233" s="21" t="n"/>
      <c r="J233" s="21" t="n"/>
      <c r="K233" s="22" t="n"/>
      <c r="L233" s="22" t="n"/>
      <c r="M233" s="22" t="n"/>
      <c r="N233" s="10" t="n"/>
      <c r="O233" s="10" t="n"/>
      <c r="P233" s="10" t="n"/>
      <c r="Q233" s="10" t="n"/>
      <c r="R233" s="11" t="n"/>
      <c r="S233" s="11" t="n"/>
    </row>
    <row r="234" ht="49.5" customFormat="1" customHeight="1" s="6">
      <c r="A234" s="21" t="n"/>
      <c r="B234" s="35" t="n"/>
      <c r="C234" s="36" t="n"/>
      <c r="D234" s="21" t="n"/>
      <c r="E234" s="20" t="n"/>
      <c r="F234" s="20" t="n"/>
      <c r="G234" s="21" t="n"/>
      <c r="H234" s="21" t="n"/>
      <c r="I234" s="21" t="n"/>
      <c r="J234" s="21" t="n"/>
      <c r="K234" s="22" t="n"/>
      <c r="L234" s="22" t="n"/>
      <c r="M234" s="22" t="n"/>
      <c r="N234" s="10" t="n"/>
      <c r="O234" s="10" t="n"/>
      <c r="P234" s="10" t="n"/>
      <c r="Q234" s="10" t="n"/>
      <c r="R234" s="11" t="n"/>
      <c r="S234" s="11" t="n"/>
    </row>
    <row r="235" ht="49.5" customFormat="1" customHeight="1" s="6">
      <c r="A235" s="21" t="n"/>
      <c r="B235" s="35" t="n"/>
      <c r="C235" s="36" t="n"/>
      <c r="D235" s="21" t="n"/>
      <c r="E235" s="20" t="n"/>
      <c r="F235" s="20" t="n"/>
      <c r="G235" s="21" t="n"/>
      <c r="H235" s="21" t="n"/>
      <c r="I235" s="21" t="n"/>
      <c r="J235" s="21" t="n"/>
      <c r="K235" s="22" t="n"/>
      <c r="L235" s="22" t="n"/>
      <c r="M235" s="22" t="n"/>
      <c r="N235" s="10" t="n"/>
      <c r="O235" s="10" t="n"/>
      <c r="P235" s="10" t="n"/>
      <c r="Q235" s="10" t="n"/>
      <c r="R235" s="11" t="n"/>
      <c r="S235" s="11" t="n"/>
    </row>
    <row r="236" ht="49.5" customFormat="1" customHeight="1" s="6">
      <c r="A236" s="21" t="n"/>
      <c r="B236" s="35" t="n"/>
      <c r="C236" s="36" t="n"/>
      <c r="D236" s="21" t="n"/>
      <c r="E236" s="20" t="n"/>
      <c r="F236" s="20" t="n"/>
      <c r="G236" s="21" t="n"/>
      <c r="H236" s="21" t="n"/>
      <c r="I236" s="21" t="n"/>
      <c r="J236" s="21" t="n"/>
      <c r="K236" s="22" t="n"/>
      <c r="L236" s="22" t="n"/>
      <c r="M236" s="22" t="n"/>
      <c r="N236" s="10" t="n"/>
      <c r="O236" s="10" t="n"/>
      <c r="P236" s="10" t="n"/>
      <c r="Q236" s="10" t="n"/>
      <c r="R236" s="11" t="n"/>
      <c r="S236" s="11" t="n"/>
    </row>
    <row r="237" ht="49.5" customFormat="1" customHeight="1" s="6">
      <c r="A237" s="21" t="n"/>
      <c r="B237" s="35" t="n"/>
      <c r="C237" s="36" t="n"/>
      <c r="D237" s="21" t="n"/>
      <c r="E237" s="20" t="n"/>
      <c r="F237" s="20" t="n"/>
      <c r="G237" s="21" t="n"/>
      <c r="H237" s="21" t="n"/>
      <c r="I237" s="21" t="n"/>
      <c r="J237" s="21" t="n"/>
      <c r="K237" s="22" t="n"/>
      <c r="L237" s="22" t="n"/>
      <c r="M237" s="22" t="n"/>
      <c r="N237" s="10" t="n"/>
      <c r="O237" s="10" t="n"/>
      <c r="P237" s="10" t="n"/>
      <c r="Q237" s="10" t="n"/>
      <c r="R237" s="11" t="n"/>
      <c r="S237" s="11" t="n"/>
    </row>
    <row r="238" ht="49.5" customFormat="1" customHeight="1" s="6">
      <c r="A238" s="21" t="n"/>
      <c r="B238" s="35" t="n"/>
      <c r="C238" s="36" t="n"/>
      <c r="D238" s="21" t="n"/>
      <c r="E238" s="20" t="n"/>
      <c r="F238" s="20" t="n"/>
      <c r="G238" s="21" t="n"/>
      <c r="H238" s="21" t="n"/>
      <c r="I238" s="21" t="n"/>
      <c r="J238" s="21" t="n"/>
      <c r="K238" s="22" t="n"/>
      <c r="L238" s="22" t="n"/>
      <c r="M238" s="22" t="n"/>
      <c r="N238" s="10" t="n"/>
      <c r="O238" s="10" t="n"/>
      <c r="P238" s="10" t="n"/>
      <c r="Q238" s="10" t="n"/>
      <c r="R238" s="11" t="n"/>
      <c r="S238" s="11" t="n"/>
    </row>
    <row r="239" ht="49.5" customFormat="1" customHeight="1" s="6">
      <c r="A239" s="21" t="n"/>
      <c r="B239" s="35" t="n"/>
      <c r="C239" s="36" t="n"/>
      <c r="D239" s="21" t="n"/>
      <c r="E239" s="20" t="n"/>
      <c r="F239" s="20" t="n"/>
      <c r="G239" s="21" t="n"/>
      <c r="H239" s="21" t="n"/>
      <c r="I239" s="21" t="n"/>
      <c r="J239" s="21" t="n"/>
      <c r="K239" s="22" t="n"/>
      <c r="L239" s="22" t="n"/>
      <c r="M239" s="22" t="n"/>
      <c r="N239" s="10" t="n"/>
      <c r="O239" s="10" t="n"/>
      <c r="P239" s="10" t="n"/>
      <c r="Q239" s="10" t="n"/>
      <c r="R239" s="11" t="n"/>
      <c r="S239" s="11" t="n"/>
    </row>
    <row r="240" ht="49.5" customFormat="1" customHeight="1" s="6">
      <c r="A240" s="21" t="n"/>
      <c r="B240" s="35" t="n"/>
      <c r="C240" s="36" t="n"/>
      <c r="D240" s="21" t="n"/>
      <c r="E240" s="20" t="n"/>
      <c r="F240" s="20" t="n"/>
      <c r="G240" s="21" t="n"/>
      <c r="H240" s="21" t="n"/>
      <c r="I240" s="21" t="n"/>
      <c r="J240" s="21" t="n"/>
      <c r="K240" s="22" t="n"/>
      <c r="L240" s="22" t="n"/>
      <c r="M240" s="22" t="n"/>
      <c r="N240" s="10" t="n"/>
      <c r="O240" s="10" t="n"/>
      <c r="P240" s="10" t="n"/>
      <c r="Q240" s="10" t="n"/>
      <c r="R240" s="11" t="n"/>
      <c r="S240" s="11" t="n"/>
    </row>
    <row r="241" ht="49.5" customFormat="1" customHeight="1" s="6">
      <c r="A241" s="21" t="n"/>
      <c r="B241" s="35" t="n"/>
      <c r="C241" s="36" t="n"/>
      <c r="D241" s="21" t="n"/>
      <c r="E241" s="20" t="n"/>
      <c r="F241" s="20" t="n"/>
      <c r="G241" s="21" t="n"/>
      <c r="H241" s="21" t="n"/>
      <c r="I241" s="21" t="n"/>
      <c r="J241" s="21" t="n"/>
      <c r="K241" s="22" t="n"/>
      <c r="L241" s="22" t="n"/>
      <c r="M241" s="22" t="n"/>
      <c r="N241" s="10" t="n"/>
      <c r="O241" s="10" t="n"/>
      <c r="P241" s="10" t="n"/>
      <c r="Q241" s="10" t="n"/>
      <c r="R241" s="11" t="n"/>
      <c r="S241" s="11" t="n"/>
    </row>
    <row r="242" ht="49.5" customFormat="1" customHeight="1" s="6">
      <c r="A242" s="21" t="n"/>
      <c r="B242" s="35" t="n"/>
      <c r="C242" s="36" t="n"/>
      <c r="D242" s="21" t="n"/>
      <c r="E242" s="20" t="n"/>
      <c r="F242" s="20" t="n"/>
      <c r="G242" s="21" t="n"/>
      <c r="H242" s="21" t="n"/>
      <c r="I242" s="21" t="n"/>
      <c r="J242" s="21" t="n"/>
      <c r="K242" s="22" t="n"/>
      <c r="L242" s="22" t="n"/>
      <c r="M242" s="22" t="n"/>
      <c r="N242" s="10" t="n"/>
      <c r="O242" s="10" t="n"/>
      <c r="P242" s="10" t="n"/>
      <c r="Q242" s="10" t="n"/>
      <c r="R242" s="11" t="n"/>
      <c r="S242" s="11" t="n"/>
    </row>
    <row r="243" ht="49.5" customFormat="1" customHeight="1" s="6">
      <c r="A243" s="21" t="n"/>
      <c r="B243" s="35" t="n"/>
      <c r="C243" s="36" t="n"/>
      <c r="D243" s="21" t="n"/>
      <c r="E243" s="20" t="n"/>
      <c r="F243" s="20" t="n"/>
      <c r="G243" s="21" t="n"/>
      <c r="H243" s="21" t="n"/>
      <c r="I243" s="21" t="n"/>
      <c r="J243" s="21" t="n"/>
      <c r="K243" s="22" t="n"/>
      <c r="L243" s="22" t="n"/>
      <c r="M243" s="22" t="n"/>
      <c r="N243" s="10" t="n"/>
      <c r="O243" s="10" t="n"/>
      <c r="P243" s="10" t="n"/>
      <c r="Q243" s="10" t="n"/>
      <c r="R243" s="11" t="n"/>
      <c r="S243" s="11" t="n"/>
    </row>
    <row r="244" ht="49.5" customFormat="1" customHeight="1" s="6">
      <c r="A244" s="21" t="n"/>
      <c r="B244" s="35" t="n"/>
      <c r="C244" s="36" t="n"/>
      <c r="D244" s="21" t="n"/>
      <c r="E244" s="20" t="n"/>
      <c r="F244" s="20" t="n"/>
      <c r="G244" s="21" t="n"/>
      <c r="H244" s="21" t="n"/>
      <c r="I244" s="21" t="n"/>
      <c r="J244" s="21" t="n"/>
      <c r="K244" s="22" t="n"/>
      <c r="L244" s="22" t="n"/>
      <c r="M244" s="22" t="n"/>
      <c r="N244" s="10" t="n"/>
      <c r="O244" s="10" t="n"/>
      <c r="P244" s="10" t="n"/>
      <c r="Q244" s="10" t="n"/>
      <c r="R244" s="11" t="n"/>
      <c r="S244" s="11" t="n"/>
    </row>
    <row r="245" ht="49.5" customFormat="1" customHeight="1" s="6">
      <c r="A245" s="21" t="n"/>
      <c r="B245" s="35" t="n"/>
      <c r="C245" s="36" t="n"/>
      <c r="D245" s="21" t="n"/>
      <c r="E245" s="20" t="n"/>
      <c r="F245" s="20" t="n"/>
      <c r="G245" s="21" t="n"/>
      <c r="H245" s="21" t="n"/>
      <c r="I245" s="21" t="n"/>
      <c r="J245" s="21" t="n"/>
      <c r="K245" s="22" t="n"/>
      <c r="L245" s="22" t="n"/>
      <c r="M245" s="22" t="n"/>
      <c r="N245" s="10" t="n"/>
      <c r="O245" s="10" t="n"/>
      <c r="P245" s="10" t="n"/>
      <c r="Q245" s="10" t="n"/>
      <c r="R245" s="11" t="n"/>
      <c r="S245" s="11" t="n"/>
    </row>
    <row r="246" ht="49.5" customFormat="1" customHeight="1" s="6">
      <c r="A246" s="21" t="n"/>
      <c r="B246" s="35" t="n"/>
      <c r="C246" s="36" t="n"/>
      <c r="D246" s="21" t="n"/>
      <c r="E246" s="20" t="n"/>
      <c r="F246" s="20" t="n"/>
      <c r="G246" s="21" t="n"/>
      <c r="H246" s="21" t="n"/>
      <c r="I246" s="21" t="n"/>
      <c r="J246" s="21" t="n"/>
      <c r="K246" s="22" t="n"/>
      <c r="L246" s="22" t="n"/>
      <c r="M246" s="22" t="n"/>
      <c r="N246" s="10" t="n"/>
      <c r="O246" s="10" t="n"/>
      <c r="P246" s="10" t="n"/>
      <c r="Q246" s="10" t="n"/>
      <c r="R246" s="11" t="n"/>
      <c r="S246" s="11" t="n"/>
    </row>
    <row r="247" ht="49.5" customFormat="1" customHeight="1" s="6">
      <c r="A247" s="21" t="n"/>
      <c r="B247" s="35" t="n"/>
      <c r="C247" s="36" t="n"/>
      <c r="D247" s="21" t="n"/>
      <c r="E247" s="20" t="n"/>
      <c r="F247" s="20" t="n"/>
      <c r="G247" s="21" t="n"/>
      <c r="H247" s="21" t="n"/>
      <c r="I247" s="21" t="n"/>
      <c r="J247" s="21" t="n"/>
      <c r="K247" s="22" t="n"/>
      <c r="L247" s="22" t="n"/>
      <c r="M247" s="22" t="n"/>
      <c r="N247" s="10" t="n"/>
      <c r="O247" s="10" t="n"/>
      <c r="P247" s="10" t="n"/>
      <c r="Q247" s="10" t="n"/>
      <c r="R247" s="11" t="n"/>
      <c r="S247" s="11" t="n"/>
    </row>
    <row r="248" ht="49.5" customFormat="1" customHeight="1" s="6">
      <c r="A248" s="21" t="n"/>
      <c r="B248" s="35" t="n"/>
      <c r="C248" s="36" t="n"/>
      <c r="D248" s="21" t="n"/>
      <c r="E248" s="20" t="n"/>
      <c r="F248" s="20" t="n"/>
      <c r="G248" s="21" t="n"/>
      <c r="H248" s="21" t="n"/>
      <c r="I248" s="21" t="n"/>
      <c r="J248" s="21" t="n"/>
      <c r="K248" s="22" t="n"/>
      <c r="L248" s="22" t="n"/>
      <c r="M248" s="22" t="n"/>
      <c r="N248" s="10" t="n"/>
      <c r="O248" s="10" t="n"/>
      <c r="P248" s="10" t="n"/>
      <c r="Q248" s="10" t="n"/>
      <c r="R248" s="11" t="n"/>
      <c r="S248" s="11" t="n"/>
    </row>
    <row r="249" ht="49.5" customFormat="1" customHeight="1" s="6">
      <c r="A249" s="21" t="n"/>
      <c r="B249" s="35" t="n"/>
      <c r="C249" s="36" t="n"/>
      <c r="D249" s="21" t="n"/>
      <c r="E249" s="20" t="n"/>
      <c r="F249" s="20" t="n"/>
      <c r="G249" s="21" t="n"/>
      <c r="H249" s="21" t="n"/>
      <c r="I249" s="21" t="n"/>
      <c r="J249" s="21" t="n"/>
      <c r="K249" s="22" t="n"/>
      <c r="L249" s="22" t="n"/>
      <c r="M249" s="22" t="n"/>
      <c r="N249" s="10" t="n"/>
      <c r="O249" s="10" t="n"/>
      <c r="P249" s="10" t="n"/>
      <c r="Q249" s="10" t="n"/>
      <c r="R249" s="11" t="n"/>
      <c r="S249" s="11" t="n"/>
    </row>
    <row r="250" ht="49.5" customFormat="1" customHeight="1" s="6">
      <c r="A250" s="21" t="n"/>
      <c r="B250" s="35" t="n"/>
      <c r="C250" s="36" t="n"/>
      <c r="D250" s="21" t="n"/>
      <c r="E250" s="20" t="n"/>
      <c r="F250" s="20" t="n"/>
      <c r="G250" s="21" t="n"/>
      <c r="H250" s="21" t="n"/>
      <c r="I250" s="21" t="n"/>
      <c r="J250" s="21" t="n"/>
      <c r="K250" s="22" t="n"/>
      <c r="L250" s="22" t="n"/>
      <c r="M250" s="22" t="n"/>
      <c r="N250" s="10" t="n"/>
      <c r="O250" s="10" t="n"/>
      <c r="P250" s="10" t="n"/>
      <c r="Q250" s="10" t="n"/>
      <c r="R250" s="11" t="n"/>
      <c r="S250" s="11" t="n"/>
    </row>
    <row r="251" ht="49.5" customFormat="1" customHeight="1" s="6">
      <c r="A251" s="21" t="n"/>
      <c r="B251" s="35" t="n"/>
      <c r="C251" s="36" t="n"/>
      <c r="D251" s="21" t="n"/>
      <c r="E251" s="20" t="n"/>
      <c r="F251" s="20" t="n"/>
      <c r="G251" s="21" t="n"/>
      <c r="H251" s="21" t="n"/>
      <c r="I251" s="21" t="n"/>
      <c r="J251" s="21" t="n"/>
      <c r="K251" s="22" t="n"/>
      <c r="L251" s="22" t="n"/>
      <c r="M251" s="22" t="n"/>
      <c r="N251" s="10" t="n"/>
      <c r="O251" s="10" t="n"/>
      <c r="P251" s="10" t="n"/>
      <c r="Q251" s="10" t="n"/>
      <c r="R251" s="11" t="n"/>
      <c r="S251" s="11" t="n"/>
    </row>
    <row r="252" ht="49.5" customFormat="1" customHeight="1" s="6">
      <c r="A252" s="21" t="n"/>
      <c r="B252" s="35" t="n"/>
      <c r="C252" s="36" t="n"/>
      <c r="D252" s="21" t="n"/>
      <c r="E252" s="20" t="n"/>
      <c r="F252" s="20" t="n"/>
      <c r="G252" s="21" t="n"/>
      <c r="H252" s="21" t="n"/>
      <c r="I252" s="21" t="n"/>
      <c r="J252" s="21" t="n"/>
      <c r="K252" s="22" t="n"/>
      <c r="L252" s="22" t="n"/>
      <c r="M252" s="22" t="n"/>
      <c r="N252" s="10" t="n"/>
      <c r="O252" s="10" t="n"/>
      <c r="P252" s="10" t="n"/>
      <c r="Q252" s="10" t="n"/>
      <c r="R252" s="11" t="n"/>
      <c r="S252" s="11" t="n"/>
    </row>
    <row r="253" ht="49.5" customFormat="1" customHeight="1" s="6">
      <c r="A253" s="21" t="n"/>
      <c r="B253" s="35" t="n"/>
      <c r="C253" s="36" t="n"/>
      <c r="D253" s="21" t="n"/>
      <c r="E253" s="20" t="n"/>
      <c r="F253" s="20" t="n"/>
      <c r="G253" s="21" t="n"/>
      <c r="H253" s="21" t="n"/>
      <c r="I253" s="21" t="n"/>
      <c r="J253" s="21" t="n"/>
      <c r="K253" s="22" t="n"/>
      <c r="L253" s="22" t="n"/>
      <c r="M253" s="22" t="n"/>
      <c r="N253" s="10" t="n"/>
      <c r="O253" s="10" t="n"/>
      <c r="P253" s="10" t="n"/>
      <c r="Q253" s="10" t="n"/>
      <c r="R253" s="11" t="n"/>
      <c r="S253" s="11" t="n"/>
    </row>
    <row r="254" ht="49.5" customFormat="1" customHeight="1" s="6">
      <c r="A254" s="21" t="n"/>
      <c r="B254" s="35" t="n"/>
      <c r="C254" s="36" t="n"/>
      <c r="D254" s="21" t="n"/>
      <c r="E254" s="20" t="n"/>
      <c r="F254" s="20" t="n"/>
      <c r="G254" s="21" t="n"/>
      <c r="H254" s="21" t="n"/>
      <c r="I254" s="21" t="n"/>
      <c r="J254" s="21" t="n"/>
      <c r="K254" s="22" t="n"/>
      <c r="L254" s="22" t="n"/>
      <c r="M254" s="22" t="n"/>
      <c r="N254" s="10" t="n"/>
      <c r="O254" s="10" t="n"/>
      <c r="P254" s="10" t="n"/>
      <c r="Q254" s="10" t="n"/>
      <c r="R254" s="11" t="n"/>
      <c r="S254" s="11" t="n"/>
    </row>
    <row r="255" ht="49.5" customFormat="1" customHeight="1" s="6">
      <c r="A255" s="21" t="n"/>
      <c r="B255" s="35" t="n"/>
      <c r="C255" s="36" t="n"/>
      <c r="D255" s="21" t="n"/>
      <c r="E255" s="20" t="n"/>
      <c r="F255" s="20" t="n"/>
      <c r="G255" s="21" t="n"/>
      <c r="H255" s="21" t="n"/>
      <c r="I255" s="21" t="n"/>
      <c r="J255" s="21" t="n"/>
      <c r="K255" s="22" t="n"/>
      <c r="L255" s="22" t="n"/>
      <c r="M255" s="22" t="n"/>
      <c r="N255" s="10" t="n"/>
      <c r="O255" s="10" t="n"/>
      <c r="P255" s="10" t="n"/>
      <c r="Q255" s="10" t="n"/>
      <c r="R255" s="11" t="n"/>
      <c r="S255" s="11" t="n"/>
    </row>
    <row r="256" ht="49.5" customFormat="1" customHeight="1" s="6">
      <c r="A256" s="21" t="n"/>
      <c r="B256" s="35" t="n"/>
      <c r="C256" s="36" t="n"/>
      <c r="D256" s="21" t="n"/>
      <c r="E256" s="20" t="n"/>
      <c r="F256" s="20" t="n"/>
      <c r="G256" s="21" t="n"/>
      <c r="H256" s="21" t="n"/>
      <c r="I256" s="21" t="n"/>
      <c r="J256" s="21" t="n"/>
      <c r="K256" s="22" t="n"/>
      <c r="L256" s="22" t="n"/>
      <c r="M256" s="22" t="n"/>
      <c r="N256" s="10" t="n"/>
      <c r="O256" s="10" t="n"/>
      <c r="P256" s="10" t="n"/>
      <c r="Q256" s="10" t="n"/>
      <c r="R256" s="11" t="n"/>
      <c r="S256" s="11" t="n"/>
    </row>
    <row r="257" ht="49.5" customFormat="1" customHeight="1" s="6">
      <c r="A257" s="21" t="n"/>
      <c r="B257" s="35" t="n"/>
      <c r="C257" s="36" t="n"/>
      <c r="D257" s="21" t="n"/>
      <c r="E257" s="20" t="n"/>
      <c r="F257" s="20" t="n"/>
      <c r="G257" s="21" t="n"/>
      <c r="H257" s="21" t="n"/>
      <c r="I257" s="21" t="n"/>
      <c r="J257" s="21" t="n"/>
      <c r="K257" s="22" t="n"/>
      <c r="L257" s="22" t="n"/>
      <c r="M257" s="22" t="n"/>
      <c r="N257" s="10" t="n"/>
      <c r="O257" s="10" t="n"/>
      <c r="P257" s="10" t="n"/>
      <c r="Q257" s="10" t="n"/>
      <c r="R257" s="11" t="n"/>
      <c r="S257" s="11" t="n"/>
    </row>
    <row r="258" ht="49.5" customFormat="1" customHeight="1" s="6">
      <c r="A258" s="21" t="n"/>
      <c r="B258" s="35" t="n"/>
      <c r="C258" s="36" t="n"/>
      <c r="D258" s="21" t="n"/>
      <c r="E258" s="20" t="n"/>
      <c r="F258" s="20" t="n"/>
      <c r="G258" s="21" t="n"/>
      <c r="H258" s="21" t="n"/>
      <c r="I258" s="21" t="n"/>
      <c r="J258" s="21" t="n"/>
      <c r="K258" s="22" t="n"/>
      <c r="L258" s="22" t="n"/>
      <c r="M258" s="22" t="n"/>
      <c r="N258" s="10" t="n"/>
      <c r="O258" s="10" t="n"/>
      <c r="P258" s="10" t="n"/>
      <c r="Q258" s="10" t="n"/>
      <c r="R258" s="11" t="n"/>
      <c r="S258" s="11" t="n"/>
    </row>
    <row r="259" ht="49.5" customFormat="1" customHeight="1" s="6">
      <c r="A259" s="21" t="n"/>
      <c r="B259" s="35" t="n"/>
      <c r="C259" s="36" t="n"/>
      <c r="D259" s="21" t="n"/>
      <c r="E259" s="20" t="n"/>
      <c r="F259" s="20" t="n"/>
      <c r="G259" s="21" t="n"/>
      <c r="H259" s="21" t="n"/>
      <c r="I259" s="21" t="n"/>
      <c r="J259" s="21" t="n"/>
      <c r="K259" s="22" t="n"/>
      <c r="L259" s="22" t="n"/>
      <c r="M259" s="22" t="n"/>
      <c r="N259" s="10" t="n"/>
      <c r="O259" s="10" t="n"/>
      <c r="P259" s="10" t="n"/>
      <c r="Q259" s="10" t="n"/>
      <c r="R259" s="11" t="n"/>
      <c r="S259" s="11" t="n"/>
    </row>
    <row r="260" ht="49.5" customFormat="1" customHeight="1" s="6">
      <c r="A260" s="21" t="n"/>
      <c r="B260" s="35" t="n"/>
      <c r="C260" s="36" t="n"/>
      <c r="D260" s="21" t="n"/>
      <c r="E260" s="20" t="n"/>
      <c r="F260" s="20" t="n"/>
      <c r="G260" s="21" t="n"/>
      <c r="H260" s="21" t="n"/>
      <c r="I260" s="21" t="n"/>
      <c r="J260" s="21" t="n"/>
      <c r="K260" s="22" t="n"/>
      <c r="L260" s="22" t="n"/>
      <c r="M260" s="22" t="n"/>
      <c r="N260" s="10" t="n"/>
      <c r="O260" s="10" t="n"/>
      <c r="P260" s="10" t="n"/>
      <c r="Q260" s="10" t="n"/>
      <c r="R260" s="11" t="n"/>
      <c r="S260" s="11" t="n"/>
    </row>
    <row r="261" ht="49.5" customFormat="1" customHeight="1" s="6">
      <c r="A261" s="21" t="n"/>
      <c r="B261" s="35" t="n"/>
      <c r="C261" s="36" t="n"/>
      <c r="D261" s="21" t="n"/>
      <c r="E261" s="20" t="n"/>
      <c r="F261" s="20" t="n"/>
      <c r="G261" s="21" t="n"/>
      <c r="H261" s="21" t="n"/>
      <c r="I261" s="21" t="n"/>
      <c r="J261" s="21" t="n"/>
      <c r="K261" s="22" t="n"/>
      <c r="L261" s="22" t="n"/>
      <c r="M261" s="22" t="n"/>
      <c r="N261" s="10" t="n"/>
      <c r="O261" s="10" t="n"/>
      <c r="P261" s="10" t="n"/>
      <c r="Q261" s="10" t="n"/>
      <c r="R261" s="11" t="n"/>
      <c r="S261" s="11" t="n"/>
    </row>
    <row r="262" ht="49.5" customFormat="1" customHeight="1" s="6">
      <c r="A262" s="21" t="n"/>
      <c r="B262" s="35" t="n"/>
      <c r="C262" s="36" t="n"/>
      <c r="D262" s="21" t="n"/>
      <c r="E262" s="20" t="n"/>
      <c r="F262" s="20" t="n"/>
      <c r="G262" s="21" t="n"/>
      <c r="H262" s="21" t="n"/>
      <c r="I262" s="21" t="n"/>
      <c r="J262" s="21" t="n"/>
      <c r="K262" s="22" t="n"/>
      <c r="L262" s="22" t="n"/>
      <c r="M262" s="22" t="n"/>
      <c r="N262" s="10" t="n"/>
      <c r="O262" s="10" t="n"/>
      <c r="P262" s="10" t="n"/>
      <c r="Q262" s="10" t="n"/>
      <c r="R262" s="11" t="n"/>
      <c r="S262" s="11" t="n"/>
    </row>
    <row r="263" ht="49.5" customFormat="1" customHeight="1" s="6">
      <c r="A263" s="21" t="n"/>
      <c r="B263" s="35" t="n"/>
      <c r="C263" s="36" t="n"/>
      <c r="D263" s="21" t="n"/>
      <c r="E263" s="20" t="n"/>
      <c r="F263" s="20" t="n"/>
      <c r="G263" s="21" t="n"/>
      <c r="H263" s="21" t="n"/>
      <c r="I263" s="21" t="n"/>
      <c r="J263" s="21" t="n"/>
      <c r="K263" s="22" t="n"/>
      <c r="L263" s="22" t="n"/>
      <c r="M263" s="22" t="n"/>
      <c r="N263" s="10" t="n"/>
      <c r="O263" s="10" t="n"/>
      <c r="P263" s="10" t="n"/>
      <c r="Q263" s="10" t="n"/>
      <c r="R263" s="11" t="n"/>
      <c r="S263" s="11" t="n"/>
    </row>
    <row r="264" ht="49.5" customFormat="1" customHeight="1" s="6">
      <c r="A264" s="21" t="n"/>
      <c r="B264" s="35" t="n"/>
      <c r="C264" s="36" t="n"/>
      <c r="D264" s="21" t="n"/>
      <c r="E264" s="20" t="n"/>
      <c r="F264" s="20" t="n"/>
      <c r="G264" s="21" t="n"/>
      <c r="H264" s="21" t="n"/>
      <c r="I264" s="21" t="n"/>
      <c r="J264" s="21" t="n"/>
      <c r="K264" s="22" t="n"/>
      <c r="L264" s="22" t="n"/>
      <c r="M264" s="22" t="n"/>
      <c r="N264" s="10" t="n"/>
      <c r="O264" s="10" t="n"/>
      <c r="P264" s="10" t="n"/>
      <c r="Q264" s="10" t="n"/>
      <c r="R264" s="11" t="n"/>
      <c r="S264" s="11" t="n"/>
    </row>
    <row r="265" ht="49.5" customFormat="1" customHeight="1" s="6">
      <c r="A265" s="21" t="n"/>
      <c r="B265" s="35" t="n"/>
      <c r="C265" s="36" t="n"/>
      <c r="D265" s="21" t="n"/>
      <c r="E265" s="20" t="n"/>
      <c r="F265" s="20" t="n"/>
      <c r="G265" s="21" t="n"/>
      <c r="H265" s="21" t="n"/>
      <c r="I265" s="21" t="n"/>
      <c r="J265" s="21" t="n"/>
      <c r="K265" s="22" t="n"/>
      <c r="L265" s="22" t="n"/>
      <c r="M265" s="22" t="n"/>
      <c r="N265" s="10" t="n"/>
      <c r="O265" s="10" t="n"/>
      <c r="P265" s="10" t="n"/>
      <c r="Q265" s="10" t="n"/>
      <c r="R265" s="11" t="n"/>
      <c r="S265" s="11" t="n"/>
    </row>
    <row r="266" ht="49.5" customFormat="1" customHeight="1" s="6">
      <c r="A266" s="21" t="n"/>
      <c r="B266" s="35" t="n"/>
      <c r="C266" s="36" t="n"/>
      <c r="D266" s="21" t="n"/>
      <c r="E266" s="20" t="n"/>
      <c r="F266" s="20" t="n"/>
      <c r="G266" s="21" t="n"/>
      <c r="H266" s="21" t="n"/>
      <c r="I266" s="21" t="n"/>
      <c r="J266" s="21" t="n"/>
      <c r="K266" s="22" t="n"/>
      <c r="L266" s="22" t="n"/>
      <c r="M266" s="22" t="n"/>
      <c r="N266" s="10" t="n"/>
      <c r="O266" s="10" t="n"/>
      <c r="P266" s="10" t="n"/>
      <c r="Q266" s="10" t="n"/>
      <c r="R266" s="11" t="n"/>
      <c r="S266" s="11" t="n"/>
    </row>
    <row r="267" ht="49.5" customFormat="1" customHeight="1" s="6">
      <c r="A267" s="21" t="n"/>
      <c r="B267" s="35" t="n"/>
      <c r="C267" s="36" t="n"/>
      <c r="D267" s="21" t="n"/>
      <c r="E267" s="20" t="n"/>
      <c r="F267" s="20" t="n"/>
      <c r="G267" s="21" t="n"/>
      <c r="H267" s="21" t="n"/>
      <c r="I267" s="21" t="n"/>
      <c r="J267" s="21" t="n"/>
      <c r="K267" s="22" t="n"/>
      <c r="L267" s="22" t="n"/>
      <c r="M267" s="22" t="n"/>
      <c r="N267" s="10" t="n"/>
      <c r="O267" s="10" t="n"/>
      <c r="P267" s="10" t="n"/>
      <c r="Q267" s="10" t="n"/>
      <c r="R267" s="11" t="n"/>
      <c r="S267" s="11" t="n"/>
    </row>
    <row r="268" ht="49.5" customFormat="1" customHeight="1" s="6">
      <c r="A268" s="21" t="n"/>
      <c r="B268" s="35" t="n"/>
      <c r="C268" s="36" t="n"/>
      <c r="D268" s="21" t="n"/>
      <c r="E268" s="20" t="n"/>
      <c r="F268" s="20" t="n"/>
      <c r="G268" s="21" t="n"/>
      <c r="H268" s="21" t="n"/>
      <c r="I268" s="21" t="n"/>
      <c r="J268" s="21" t="n"/>
      <c r="K268" s="22" t="n"/>
      <c r="L268" s="22" t="n"/>
      <c r="M268" s="22" t="n"/>
      <c r="N268" s="10" t="n"/>
      <c r="O268" s="10" t="n"/>
      <c r="P268" s="10" t="n"/>
      <c r="Q268" s="10" t="n"/>
      <c r="R268" s="11" t="n"/>
      <c r="S268" s="11" t="n"/>
    </row>
    <row r="269" ht="49.5" customFormat="1" customHeight="1" s="6">
      <c r="A269" s="21" t="n"/>
      <c r="B269" s="35" t="n"/>
      <c r="C269" s="36" t="n"/>
      <c r="D269" s="21" t="n"/>
      <c r="E269" s="20" t="n"/>
      <c r="F269" s="20" t="n"/>
      <c r="G269" s="21" t="n"/>
      <c r="H269" s="21" t="n"/>
      <c r="I269" s="21" t="n"/>
      <c r="J269" s="21" t="n"/>
      <c r="K269" s="22" t="n"/>
      <c r="L269" s="22" t="n"/>
      <c r="M269" s="22" t="n"/>
      <c r="N269" s="10" t="n"/>
      <c r="O269" s="10" t="n"/>
      <c r="P269" s="10" t="n"/>
      <c r="Q269" s="10" t="n"/>
      <c r="R269" s="11" t="n"/>
      <c r="S269" s="11" t="n"/>
    </row>
    <row r="270" ht="49.5" customFormat="1" customHeight="1" s="6">
      <c r="A270" s="21" t="n"/>
      <c r="B270" s="35" t="n"/>
      <c r="C270" s="36" t="n"/>
      <c r="D270" s="21" t="n"/>
      <c r="E270" s="20" t="n"/>
      <c r="F270" s="20" t="n"/>
      <c r="G270" s="21" t="n"/>
      <c r="H270" s="21" t="n"/>
      <c r="I270" s="21" t="n"/>
      <c r="J270" s="21" t="n"/>
      <c r="K270" s="22" t="n"/>
      <c r="L270" s="22" t="n"/>
      <c r="M270" s="22" t="n"/>
      <c r="N270" s="10" t="n"/>
      <c r="O270" s="10" t="n"/>
      <c r="P270" s="10" t="n"/>
      <c r="Q270" s="10" t="n"/>
      <c r="R270" s="11" t="n"/>
      <c r="S270" s="11" t="n"/>
    </row>
    <row r="271" ht="49.5" customFormat="1" customHeight="1" s="6">
      <c r="A271" s="21" t="n"/>
      <c r="B271" s="35" t="n"/>
      <c r="C271" s="36" t="n"/>
      <c r="D271" s="21" t="n"/>
      <c r="E271" s="20" t="n"/>
      <c r="F271" s="20" t="n"/>
      <c r="G271" s="21" t="n"/>
      <c r="H271" s="21" t="n"/>
      <c r="I271" s="21" t="n"/>
      <c r="J271" s="21" t="n"/>
      <c r="K271" s="22" t="n"/>
      <c r="L271" s="22" t="n"/>
      <c r="M271" s="22" t="n"/>
      <c r="N271" s="10" t="n"/>
      <c r="O271" s="10" t="n"/>
      <c r="P271" s="10" t="n"/>
      <c r="Q271" s="10" t="n"/>
      <c r="R271" s="11" t="n"/>
      <c r="S271" s="11" t="n"/>
    </row>
    <row r="272" ht="49.5" customFormat="1" customHeight="1" s="6">
      <c r="A272" s="21" t="n"/>
      <c r="B272" s="35" t="n"/>
      <c r="C272" s="36" t="n"/>
      <c r="D272" s="21" t="n"/>
      <c r="E272" s="20" t="n"/>
      <c r="F272" s="20" t="n"/>
      <c r="G272" s="21" t="n"/>
      <c r="H272" s="21" t="n"/>
      <c r="I272" s="21" t="n"/>
      <c r="J272" s="21" t="n"/>
      <c r="K272" s="22" t="n"/>
      <c r="L272" s="22" t="n"/>
      <c r="M272" s="22" t="n"/>
      <c r="N272" s="10" t="n"/>
      <c r="O272" s="10" t="n"/>
      <c r="P272" s="10" t="n"/>
      <c r="Q272" s="10" t="n"/>
      <c r="R272" s="11" t="n"/>
      <c r="S272" s="11" t="n"/>
    </row>
    <row r="273" ht="49.5" customFormat="1" customHeight="1" s="6">
      <c r="A273" s="21" t="n"/>
      <c r="B273" s="35" t="n"/>
      <c r="C273" s="36" t="n"/>
      <c r="D273" s="21" t="n"/>
      <c r="E273" s="20" t="n"/>
      <c r="F273" s="20" t="n"/>
      <c r="G273" s="21" t="n"/>
      <c r="H273" s="21" t="n"/>
      <c r="I273" s="21" t="n"/>
      <c r="J273" s="21" t="n"/>
      <c r="K273" s="22" t="n"/>
      <c r="L273" s="22" t="n"/>
      <c r="M273" s="22" t="n"/>
      <c r="N273" s="10" t="n"/>
      <c r="O273" s="10" t="n"/>
      <c r="P273" s="10" t="n"/>
      <c r="Q273" s="10" t="n"/>
      <c r="R273" s="11" t="n"/>
      <c r="S273" s="11" t="n"/>
    </row>
    <row r="274" ht="49.5" customFormat="1" customHeight="1" s="6">
      <c r="A274" s="21" t="n"/>
      <c r="B274" s="35" t="n"/>
      <c r="C274" s="36" t="n"/>
      <c r="D274" s="21" t="n"/>
      <c r="E274" s="20" t="n"/>
      <c r="F274" s="20" t="n"/>
      <c r="G274" s="21" t="n"/>
      <c r="H274" s="21" t="n"/>
      <c r="I274" s="21" t="n"/>
      <c r="J274" s="21" t="n"/>
      <c r="K274" s="22" t="n"/>
      <c r="L274" s="22" t="n"/>
      <c r="M274" s="22" t="n"/>
      <c r="N274" s="10" t="n"/>
      <c r="O274" s="10" t="n"/>
      <c r="P274" s="10" t="n"/>
      <c r="Q274" s="10" t="n"/>
      <c r="R274" s="11" t="n"/>
      <c r="S274" s="11" t="n"/>
    </row>
    <row r="275" ht="49.5" customFormat="1" customHeight="1" s="6">
      <c r="A275" s="21" t="n"/>
      <c r="B275" s="35" t="n"/>
      <c r="C275" s="36" t="n"/>
      <c r="D275" s="21" t="n"/>
      <c r="E275" s="20" t="n"/>
      <c r="F275" s="20" t="n"/>
      <c r="G275" s="21" t="n"/>
      <c r="H275" s="21" t="n"/>
      <c r="I275" s="21" t="n"/>
      <c r="J275" s="21" t="n"/>
      <c r="K275" s="22" t="n"/>
      <c r="L275" s="22" t="n"/>
      <c r="M275" s="22" t="n"/>
      <c r="N275" s="10" t="n"/>
      <c r="O275" s="10" t="n"/>
      <c r="P275" s="10" t="n"/>
      <c r="Q275" s="10" t="n"/>
      <c r="R275" s="11" t="n"/>
      <c r="S275" s="11" t="n"/>
    </row>
    <row r="276" ht="49.5" customFormat="1" customHeight="1" s="6">
      <c r="A276" s="21" t="n"/>
      <c r="B276" s="35" t="n"/>
      <c r="C276" s="36" t="n"/>
      <c r="D276" s="21" t="n"/>
      <c r="E276" s="20" t="n"/>
      <c r="F276" s="20" t="n"/>
      <c r="G276" s="21" t="n"/>
      <c r="H276" s="21" t="n"/>
      <c r="I276" s="21" t="n"/>
      <c r="J276" s="21" t="n"/>
      <c r="K276" s="22" t="n"/>
      <c r="L276" s="22" t="n"/>
      <c r="M276" s="22" t="n"/>
      <c r="N276" s="10" t="n"/>
      <c r="O276" s="10" t="n"/>
      <c r="P276" s="10" t="n"/>
      <c r="Q276" s="10" t="n"/>
      <c r="R276" s="11" t="n"/>
      <c r="S276" s="11" t="n"/>
    </row>
    <row r="277" ht="49.5" customFormat="1" customHeight="1" s="6">
      <c r="A277" s="21" t="n"/>
      <c r="B277" s="35" t="n"/>
      <c r="C277" s="36" t="n"/>
      <c r="D277" s="21" t="n"/>
      <c r="E277" s="20" t="n"/>
      <c r="F277" s="20" t="n"/>
      <c r="G277" s="21" t="n"/>
      <c r="H277" s="21" t="n"/>
      <c r="I277" s="21" t="n"/>
      <c r="J277" s="21" t="n"/>
      <c r="K277" s="22" t="n"/>
      <c r="L277" s="22" t="n"/>
      <c r="M277" s="22" t="n"/>
      <c r="N277" s="10" t="n"/>
      <c r="O277" s="10" t="n"/>
      <c r="P277" s="10" t="n"/>
      <c r="Q277" s="10" t="n"/>
      <c r="R277" s="11" t="n"/>
      <c r="S277" s="11" t="n"/>
    </row>
    <row r="278" ht="49.5" customFormat="1" customHeight="1" s="6">
      <c r="A278" s="21" t="n"/>
      <c r="B278" s="35" t="n"/>
      <c r="C278" s="36" t="n"/>
      <c r="D278" s="21" t="n"/>
      <c r="E278" s="20" t="n"/>
      <c r="F278" s="20" t="n"/>
      <c r="G278" s="21" t="n"/>
      <c r="H278" s="21" t="n"/>
      <c r="I278" s="21" t="n"/>
      <c r="J278" s="21" t="n"/>
      <c r="K278" s="22" t="n"/>
      <c r="L278" s="22" t="n"/>
      <c r="M278" s="22" t="n"/>
      <c r="N278" s="10" t="n"/>
      <c r="O278" s="10" t="n"/>
      <c r="P278" s="10" t="n"/>
      <c r="Q278" s="10" t="n"/>
      <c r="R278" s="11" t="n"/>
      <c r="S278" s="11" t="n"/>
    </row>
    <row r="279" ht="49.5" customFormat="1" customHeight="1" s="6">
      <c r="A279" s="21" t="n"/>
      <c r="B279" s="35" t="n"/>
      <c r="C279" s="36" t="n"/>
      <c r="D279" s="21" t="n"/>
      <c r="E279" s="20" t="n"/>
      <c r="F279" s="20" t="n"/>
      <c r="G279" s="21" t="n"/>
      <c r="H279" s="21" t="n"/>
      <c r="I279" s="21" t="n"/>
      <c r="J279" s="21" t="n"/>
      <c r="K279" s="22" t="n"/>
      <c r="L279" s="22" t="n"/>
      <c r="M279" s="22" t="n"/>
      <c r="N279" s="10" t="n"/>
      <c r="O279" s="10" t="n"/>
      <c r="P279" s="10" t="n"/>
      <c r="Q279" s="10" t="n"/>
      <c r="R279" s="11" t="n"/>
      <c r="S279" s="11" t="n"/>
    </row>
    <row r="280" ht="49.5" customFormat="1" customHeight="1" s="6">
      <c r="A280" s="21" t="n"/>
      <c r="B280" s="35" t="n"/>
      <c r="C280" s="36" t="n"/>
      <c r="D280" s="21" t="n"/>
      <c r="E280" s="20" t="n"/>
      <c r="F280" s="20" t="n"/>
      <c r="G280" s="21" t="n"/>
      <c r="H280" s="21" t="n"/>
      <c r="I280" s="21" t="n"/>
      <c r="J280" s="21" t="n"/>
      <c r="K280" s="22" t="n"/>
      <c r="L280" s="22" t="n"/>
      <c r="M280" s="22" t="n"/>
      <c r="N280" s="10" t="n"/>
      <c r="O280" s="10" t="n"/>
      <c r="P280" s="10" t="n"/>
      <c r="Q280" s="10" t="n"/>
      <c r="R280" s="11" t="n"/>
      <c r="S280" s="11" t="n"/>
    </row>
    <row r="281" ht="49.5" customFormat="1" customHeight="1" s="6">
      <c r="A281" s="21" t="n"/>
      <c r="B281" s="35" t="n"/>
      <c r="C281" s="36" t="n"/>
      <c r="D281" s="21" t="n"/>
      <c r="E281" s="20" t="n"/>
      <c r="F281" s="20" t="n"/>
      <c r="G281" s="21" t="n"/>
      <c r="H281" s="21" t="n"/>
      <c r="I281" s="21" t="n"/>
      <c r="J281" s="21" t="n"/>
      <c r="K281" s="22" t="n"/>
      <c r="L281" s="22" t="n"/>
      <c r="M281" s="22" t="n"/>
      <c r="N281" s="10" t="n"/>
      <c r="O281" s="10" t="n"/>
      <c r="P281" s="10" t="n"/>
      <c r="Q281" s="10" t="n"/>
      <c r="R281" s="11" t="n"/>
      <c r="S281" s="11" t="n"/>
    </row>
    <row r="282" ht="49.5" customFormat="1" customHeight="1" s="6">
      <c r="A282" s="21" t="n"/>
      <c r="B282" s="35" t="n"/>
      <c r="C282" s="36" t="n"/>
      <c r="D282" s="21" t="n"/>
      <c r="E282" s="20" t="n"/>
      <c r="F282" s="20" t="n"/>
      <c r="G282" s="21" t="n"/>
      <c r="H282" s="21" t="n"/>
      <c r="I282" s="21" t="n"/>
      <c r="J282" s="21" t="n"/>
      <c r="K282" s="22" t="n"/>
      <c r="L282" s="22" t="n"/>
      <c r="M282" s="22" t="n"/>
      <c r="N282" s="10" t="n"/>
      <c r="O282" s="10" t="n"/>
      <c r="P282" s="10" t="n"/>
      <c r="Q282" s="10" t="n"/>
      <c r="R282" s="11" t="n"/>
      <c r="S282" s="11" t="n"/>
    </row>
    <row r="283" ht="49.5" customFormat="1" customHeight="1" s="6">
      <c r="A283" s="21" t="n"/>
      <c r="B283" s="35" t="n"/>
      <c r="C283" s="36" t="n"/>
      <c r="D283" s="21" t="n"/>
      <c r="E283" s="20" t="n"/>
      <c r="F283" s="20" t="n"/>
      <c r="G283" s="21" t="n"/>
      <c r="H283" s="21" t="n"/>
      <c r="I283" s="21" t="n"/>
      <c r="J283" s="21" t="n"/>
      <c r="K283" s="22" t="n"/>
      <c r="L283" s="22" t="n"/>
      <c r="M283" s="22" t="n"/>
      <c r="N283" s="10" t="n"/>
      <c r="O283" s="10" t="n"/>
      <c r="P283" s="10" t="n"/>
      <c r="Q283" s="10" t="n"/>
      <c r="R283" s="11" t="n"/>
      <c r="S283" s="11" t="n"/>
    </row>
    <row r="284" ht="49.5" customFormat="1" customHeight="1" s="6">
      <c r="A284" s="21" t="n"/>
      <c r="B284" s="35" t="n"/>
      <c r="C284" s="36" t="n"/>
      <c r="D284" s="21" t="n"/>
      <c r="E284" s="20" t="n"/>
      <c r="F284" s="20" t="n"/>
      <c r="G284" s="21" t="n"/>
      <c r="H284" s="21" t="n"/>
      <c r="I284" s="21" t="n"/>
      <c r="J284" s="21" t="n"/>
      <c r="K284" s="22" t="n"/>
      <c r="L284" s="22" t="n"/>
      <c r="M284" s="22" t="n"/>
      <c r="N284" s="10" t="n"/>
      <c r="O284" s="10" t="n"/>
      <c r="P284" s="10" t="n"/>
      <c r="Q284" s="10" t="n"/>
      <c r="R284" s="11" t="n"/>
      <c r="S284" s="11" t="n"/>
    </row>
    <row r="285" ht="49.5" customFormat="1" customHeight="1" s="6">
      <c r="A285" s="21" t="n"/>
      <c r="B285" s="35" t="n"/>
      <c r="C285" s="36" t="n"/>
      <c r="D285" s="21" t="n"/>
      <c r="E285" s="20" t="n"/>
      <c r="F285" s="20" t="n"/>
      <c r="G285" s="21" t="n"/>
      <c r="H285" s="21" t="n"/>
      <c r="I285" s="21" t="n"/>
      <c r="J285" s="21" t="n"/>
      <c r="K285" s="22" t="n"/>
      <c r="L285" s="22" t="n"/>
      <c r="M285" s="22" t="n"/>
      <c r="N285" s="10" t="n"/>
      <c r="O285" s="10" t="n"/>
      <c r="P285" s="10" t="n"/>
      <c r="Q285" s="10" t="n"/>
      <c r="R285" s="11" t="n"/>
      <c r="S285" s="11" t="n"/>
    </row>
    <row r="286" ht="49.5" customFormat="1" customHeight="1" s="6">
      <c r="A286" s="21" t="n"/>
      <c r="B286" s="35" t="n"/>
      <c r="C286" s="36" t="n"/>
      <c r="D286" s="21" t="n"/>
      <c r="E286" s="20" t="n"/>
      <c r="F286" s="20" t="n"/>
      <c r="G286" s="21" t="n"/>
      <c r="H286" s="21" t="n"/>
      <c r="I286" s="21" t="n"/>
      <c r="J286" s="21" t="n"/>
      <c r="K286" s="22" t="n"/>
      <c r="L286" s="22" t="n"/>
      <c r="M286" s="22" t="n"/>
      <c r="N286" s="10" t="n"/>
      <c r="O286" s="10" t="n"/>
      <c r="P286" s="10" t="n"/>
      <c r="Q286" s="10" t="n"/>
      <c r="R286" s="11" t="n"/>
      <c r="S286" s="11" t="n"/>
    </row>
    <row r="287" ht="49.5" customFormat="1" customHeight="1" s="6">
      <c r="A287" s="21" t="n"/>
      <c r="B287" s="35" t="n"/>
      <c r="C287" s="36" t="n"/>
      <c r="D287" s="21" t="n"/>
      <c r="E287" s="20" t="n"/>
      <c r="F287" s="20" t="n"/>
      <c r="G287" s="21" t="n"/>
      <c r="H287" s="21" t="n"/>
      <c r="I287" s="21" t="n"/>
      <c r="J287" s="21" t="n"/>
      <c r="K287" s="22" t="n"/>
      <c r="L287" s="22" t="n"/>
      <c r="M287" s="22" t="n"/>
      <c r="N287" s="10" t="n"/>
      <c r="O287" s="10" t="n"/>
      <c r="P287" s="10" t="n"/>
      <c r="Q287" s="10" t="n"/>
      <c r="R287" s="11" t="n"/>
      <c r="S287" s="11" t="n"/>
    </row>
    <row r="288" ht="49.5" customFormat="1" customHeight="1" s="6">
      <c r="A288" s="21" t="n"/>
      <c r="B288" s="35" t="n"/>
      <c r="C288" s="36" t="n"/>
      <c r="D288" s="21" t="n"/>
      <c r="E288" s="20" t="n"/>
      <c r="F288" s="20" t="n"/>
      <c r="G288" s="21" t="n"/>
      <c r="H288" s="21" t="n"/>
      <c r="I288" s="21" t="n"/>
      <c r="J288" s="21" t="n"/>
      <c r="K288" s="22" t="n"/>
      <c r="L288" s="22" t="n"/>
      <c r="M288" s="22" t="n"/>
      <c r="N288" s="10" t="n"/>
      <c r="O288" s="10" t="n"/>
      <c r="P288" s="10" t="n"/>
      <c r="Q288" s="10" t="n"/>
      <c r="R288" s="11" t="n"/>
      <c r="S288" s="11" t="n"/>
    </row>
    <row r="289" ht="49.5" customFormat="1" customHeight="1" s="6">
      <c r="A289" s="21" t="n"/>
      <c r="B289" s="35" t="n"/>
      <c r="C289" s="36" t="n"/>
      <c r="D289" s="21" t="n"/>
      <c r="E289" s="20" t="n"/>
      <c r="F289" s="20" t="n"/>
      <c r="G289" s="21" t="n"/>
      <c r="H289" s="21" t="n"/>
      <c r="I289" s="21" t="n"/>
      <c r="J289" s="21" t="n"/>
      <c r="K289" s="22" t="n"/>
      <c r="L289" s="22" t="n"/>
      <c r="M289" s="22" t="n"/>
      <c r="N289" s="10" t="n"/>
      <c r="O289" s="10" t="n"/>
      <c r="P289" s="10" t="n"/>
      <c r="Q289" s="10" t="n"/>
      <c r="R289" s="11" t="n"/>
      <c r="S289" s="11" t="n"/>
    </row>
    <row r="290" ht="49.5" customFormat="1" customHeight="1" s="6">
      <c r="A290" s="21" t="n"/>
      <c r="B290" s="35" t="n"/>
      <c r="C290" s="36" t="n"/>
      <c r="D290" s="21" t="n"/>
      <c r="E290" s="20" t="n"/>
      <c r="F290" s="20" t="n"/>
      <c r="G290" s="21" t="n"/>
      <c r="H290" s="21" t="n"/>
      <c r="I290" s="21" t="n"/>
      <c r="J290" s="21" t="n"/>
      <c r="K290" s="22" t="n"/>
      <c r="L290" s="22" t="n"/>
      <c r="M290" s="22" t="n"/>
      <c r="N290" s="10" t="n"/>
      <c r="O290" s="10" t="n"/>
      <c r="P290" s="10" t="n"/>
      <c r="Q290" s="10" t="n"/>
      <c r="R290" s="11" t="n"/>
      <c r="S290" s="11" t="n"/>
    </row>
    <row r="291" ht="49.5" customFormat="1" customHeight="1" s="6">
      <c r="A291" s="21" t="n"/>
      <c r="B291" s="35" t="n"/>
      <c r="C291" s="36" t="n"/>
      <c r="D291" s="21" t="n"/>
      <c r="E291" s="20" t="n"/>
      <c r="F291" s="20" t="n"/>
      <c r="G291" s="21" t="n"/>
      <c r="H291" s="21" t="n"/>
      <c r="I291" s="21" t="n"/>
      <c r="J291" s="21" t="n"/>
      <c r="K291" s="22" t="n"/>
      <c r="L291" s="22" t="n"/>
      <c r="M291" s="22" t="n"/>
      <c r="N291" s="10" t="n"/>
      <c r="O291" s="10" t="n"/>
      <c r="P291" s="10" t="n"/>
      <c r="Q291" s="10" t="n"/>
      <c r="R291" s="11" t="n"/>
      <c r="S291" s="11" t="n"/>
    </row>
    <row r="292" ht="49.5" customFormat="1" customHeight="1" s="6">
      <c r="A292" s="21" t="n"/>
      <c r="B292" s="35" t="n"/>
      <c r="C292" s="36" t="n"/>
      <c r="D292" s="21" t="n"/>
      <c r="E292" s="20" t="n"/>
      <c r="F292" s="20" t="n"/>
      <c r="G292" s="21" t="n"/>
      <c r="H292" s="21" t="n"/>
      <c r="I292" s="21" t="n"/>
      <c r="J292" s="21" t="n"/>
      <c r="K292" s="22" t="n"/>
      <c r="L292" s="22" t="n"/>
      <c r="M292" s="22" t="n"/>
      <c r="N292" s="10" t="n"/>
      <c r="O292" s="10" t="n"/>
      <c r="P292" s="10" t="n"/>
      <c r="Q292" s="10" t="n"/>
      <c r="R292" s="11" t="n"/>
      <c r="S292" s="11" t="n"/>
    </row>
    <row r="293" ht="49.5" customFormat="1" customHeight="1" s="6">
      <c r="A293" s="21" t="n"/>
      <c r="B293" s="35" t="n"/>
      <c r="C293" s="36" t="n"/>
      <c r="D293" s="21" t="n"/>
      <c r="E293" s="20" t="n"/>
      <c r="F293" s="20" t="n"/>
      <c r="G293" s="21" t="n"/>
      <c r="H293" s="21" t="n"/>
      <c r="I293" s="21" t="n"/>
      <c r="J293" s="21" t="n"/>
      <c r="K293" s="22" t="n"/>
      <c r="L293" s="22" t="n"/>
      <c r="M293" s="22" t="n"/>
      <c r="N293" s="10" t="n"/>
      <c r="O293" s="10" t="n"/>
      <c r="P293" s="10" t="n"/>
      <c r="Q293" s="10" t="n"/>
      <c r="R293" s="11" t="n"/>
      <c r="S293" s="11" t="n"/>
    </row>
    <row r="294" ht="49.5" customFormat="1" customHeight="1" s="6">
      <c r="A294" s="21" t="n"/>
      <c r="B294" s="35" t="n"/>
      <c r="C294" s="36" t="n"/>
      <c r="D294" s="21" t="n"/>
      <c r="E294" s="20" t="n"/>
      <c r="F294" s="20" t="n"/>
      <c r="G294" s="21" t="n"/>
      <c r="H294" s="21" t="n"/>
      <c r="I294" s="21" t="n"/>
      <c r="J294" s="21" t="n"/>
      <c r="K294" s="22" t="n"/>
      <c r="L294" s="22" t="n"/>
      <c r="M294" s="22" t="n"/>
      <c r="N294" s="10" t="n"/>
      <c r="O294" s="10" t="n"/>
      <c r="P294" s="10" t="n"/>
      <c r="Q294" s="10" t="n"/>
      <c r="R294" s="11" t="n"/>
      <c r="S294" s="11" t="n"/>
    </row>
    <row r="295" ht="49.5" customFormat="1" customHeight="1" s="6">
      <c r="A295" s="21" t="n"/>
      <c r="B295" s="35" t="n"/>
      <c r="C295" s="36" t="n"/>
      <c r="D295" s="21" t="n"/>
      <c r="E295" s="20" t="n"/>
      <c r="F295" s="20" t="n"/>
      <c r="G295" s="21" t="n"/>
      <c r="H295" s="21" t="n"/>
      <c r="I295" s="21" t="n"/>
      <c r="J295" s="21" t="n"/>
      <c r="K295" s="22" t="n"/>
      <c r="L295" s="22" t="n"/>
      <c r="M295" s="22" t="n"/>
      <c r="N295" s="10" t="n"/>
      <c r="O295" s="10" t="n"/>
      <c r="P295" s="10" t="n"/>
      <c r="Q295" s="10" t="n"/>
      <c r="R295" s="11" t="n"/>
      <c r="S295" s="11" t="n"/>
    </row>
    <row r="296" ht="49.5" customFormat="1" customHeight="1" s="6">
      <c r="A296" s="21" t="n"/>
      <c r="B296" s="35" t="n"/>
      <c r="C296" s="36" t="n"/>
      <c r="D296" s="21" t="n"/>
      <c r="E296" s="20" t="n"/>
      <c r="F296" s="20" t="n"/>
      <c r="G296" s="21" t="n"/>
      <c r="H296" s="21" t="n"/>
      <c r="I296" s="21" t="n"/>
      <c r="J296" s="21" t="n"/>
      <c r="K296" s="22" t="n"/>
      <c r="L296" s="22" t="n"/>
      <c r="M296" s="22" t="n"/>
      <c r="N296" s="10" t="n"/>
      <c r="O296" s="10" t="n"/>
      <c r="P296" s="10" t="n"/>
      <c r="Q296" s="10" t="n"/>
      <c r="R296" s="11" t="n"/>
      <c r="S296" s="11" t="n"/>
    </row>
    <row r="297" ht="49.5" customFormat="1" customHeight="1" s="6">
      <c r="A297" s="21" t="n"/>
      <c r="B297" s="35" t="n"/>
      <c r="C297" s="36" t="n"/>
      <c r="D297" s="21" t="n"/>
      <c r="E297" s="20" t="n"/>
      <c r="F297" s="20" t="n"/>
      <c r="G297" s="21" t="n"/>
      <c r="H297" s="21" t="n"/>
      <c r="I297" s="21" t="n"/>
      <c r="J297" s="21" t="n"/>
      <c r="K297" s="22" t="n"/>
      <c r="L297" s="22" t="n"/>
      <c r="M297" s="22" t="n"/>
      <c r="N297" s="10" t="n"/>
      <c r="O297" s="10" t="n"/>
      <c r="P297" s="10" t="n"/>
      <c r="Q297" s="10" t="n"/>
      <c r="R297" s="11" t="n"/>
      <c r="S297" s="11" t="n"/>
    </row>
    <row r="298" ht="49.5" customFormat="1" customHeight="1" s="6">
      <c r="A298" s="21" t="n"/>
      <c r="B298" s="35" t="n"/>
      <c r="C298" s="36" t="n"/>
      <c r="D298" s="21" t="n"/>
      <c r="E298" s="20" t="n"/>
      <c r="F298" s="20" t="n"/>
      <c r="G298" s="21" t="n"/>
      <c r="H298" s="21" t="n"/>
      <c r="I298" s="21" t="n"/>
      <c r="J298" s="21" t="n"/>
      <c r="K298" s="22" t="n"/>
      <c r="L298" s="22" t="n"/>
      <c r="M298" s="22" t="n"/>
      <c r="N298" s="10" t="n"/>
      <c r="O298" s="10" t="n"/>
      <c r="P298" s="10" t="n"/>
      <c r="Q298" s="10" t="n"/>
      <c r="R298" s="11" t="n"/>
      <c r="S298" s="11" t="n"/>
    </row>
    <row r="299" ht="49.5" customFormat="1" customHeight="1" s="6">
      <c r="A299" s="21" t="n"/>
      <c r="B299" s="35" t="n"/>
      <c r="C299" s="36" t="n"/>
      <c r="D299" s="21" t="n"/>
      <c r="E299" s="20" t="n"/>
      <c r="F299" s="20" t="n"/>
      <c r="G299" s="21" t="n"/>
      <c r="H299" s="21" t="n"/>
      <c r="I299" s="21" t="n"/>
      <c r="J299" s="21" t="n"/>
      <c r="K299" s="22" t="n"/>
      <c r="L299" s="22" t="n"/>
      <c r="M299" s="22" t="n"/>
      <c r="N299" s="10" t="n"/>
      <c r="O299" s="10" t="n"/>
      <c r="P299" s="10" t="n"/>
      <c r="Q299" s="10" t="n"/>
      <c r="R299" s="11" t="n"/>
      <c r="S299" s="11" t="n"/>
    </row>
    <row r="300" ht="49.5" customFormat="1" customHeight="1" s="6">
      <c r="A300" s="21" t="n"/>
      <c r="B300" s="35" t="n"/>
      <c r="C300" s="36" t="n"/>
      <c r="D300" s="21" t="n"/>
      <c r="E300" s="20" t="n"/>
      <c r="F300" s="20" t="n"/>
      <c r="G300" s="21" t="n"/>
      <c r="H300" s="21" t="n"/>
      <c r="I300" s="21" t="n"/>
      <c r="J300" s="21" t="n"/>
      <c r="K300" s="22" t="n"/>
      <c r="L300" s="22" t="n"/>
      <c r="M300" s="22" t="n"/>
      <c r="N300" s="10" t="n"/>
      <c r="O300" s="10" t="n"/>
      <c r="P300" s="10" t="n"/>
      <c r="Q300" s="10" t="n"/>
      <c r="R300" s="11" t="n"/>
      <c r="S300" s="11" t="n"/>
    </row>
    <row r="301" ht="49.5" customFormat="1" customHeight="1" s="6">
      <c r="A301" s="21" t="n"/>
      <c r="B301" s="35" t="n"/>
      <c r="C301" s="36" t="n"/>
      <c r="D301" s="21" t="n"/>
      <c r="E301" s="20" t="n"/>
      <c r="F301" s="20" t="n"/>
      <c r="G301" s="21" t="n"/>
      <c r="H301" s="21" t="n"/>
      <c r="I301" s="21" t="n"/>
      <c r="J301" s="21" t="n"/>
      <c r="K301" s="22" t="n"/>
      <c r="L301" s="22" t="n"/>
      <c r="M301" s="22" t="n"/>
      <c r="N301" s="10" t="n"/>
      <c r="O301" s="10" t="n"/>
      <c r="P301" s="10" t="n"/>
      <c r="Q301" s="10" t="n"/>
      <c r="R301" s="11" t="n"/>
      <c r="S301" s="11" t="n"/>
    </row>
    <row r="302" ht="49.5" customFormat="1" customHeight="1" s="6">
      <c r="A302" s="21" t="n"/>
      <c r="B302" s="35" t="n"/>
      <c r="C302" s="36" t="n"/>
      <c r="D302" s="21" t="n"/>
      <c r="E302" s="20" t="n"/>
      <c r="F302" s="20" t="n"/>
      <c r="G302" s="21" t="n"/>
      <c r="H302" s="21" t="n"/>
      <c r="I302" s="21" t="n"/>
      <c r="J302" s="21" t="n"/>
      <c r="K302" s="22" t="n"/>
      <c r="L302" s="22" t="n"/>
      <c r="M302" s="22" t="n"/>
      <c r="N302" s="10" t="n"/>
      <c r="O302" s="10" t="n"/>
      <c r="P302" s="10" t="n"/>
      <c r="Q302" s="10" t="n"/>
      <c r="R302" s="11" t="n"/>
      <c r="S302" s="11" t="n"/>
    </row>
    <row r="303" ht="49.5" customFormat="1" customHeight="1" s="6">
      <c r="A303" s="21" t="n"/>
      <c r="B303" s="35" t="n"/>
      <c r="C303" s="36" t="n"/>
      <c r="D303" s="21" t="n"/>
      <c r="E303" s="20" t="n"/>
      <c r="F303" s="20" t="n"/>
      <c r="G303" s="21" t="n"/>
      <c r="H303" s="21" t="n"/>
      <c r="I303" s="21" t="n"/>
      <c r="J303" s="21" t="n"/>
      <c r="K303" s="22" t="n"/>
      <c r="L303" s="22" t="n"/>
      <c r="M303" s="22" t="n"/>
      <c r="N303" s="10" t="n"/>
      <c r="O303" s="10" t="n"/>
      <c r="P303" s="10" t="n"/>
      <c r="Q303" s="10" t="n"/>
      <c r="R303" s="11" t="n"/>
      <c r="S303" s="11" t="n"/>
    </row>
    <row r="304" ht="49.5" customFormat="1" customHeight="1" s="6">
      <c r="A304" s="21" t="n"/>
      <c r="B304" s="35" t="n"/>
      <c r="C304" s="36" t="n"/>
      <c r="D304" s="21" t="n"/>
      <c r="E304" s="20" t="n"/>
      <c r="F304" s="20" t="n"/>
      <c r="G304" s="21" t="n"/>
      <c r="H304" s="21" t="n"/>
      <c r="I304" s="21" t="n"/>
      <c r="J304" s="21" t="n"/>
      <c r="K304" s="22" t="n"/>
      <c r="L304" s="22" t="n"/>
      <c r="M304" s="22" t="n"/>
      <c r="N304" s="10" t="n"/>
      <c r="O304" s="10" t="n"/>
      <c r="P304" s="10" t="n"/>
      <c r="Q304" s="10" t="n"/>
      <c r="R304" s="11" t="n"/>
      <c r="S304" s="11" t="n"/>
    </row>
    <row r="305" ht="49.5" customFormat="1" customHeight="1" s="6">
      <c r="A305" s="21" t="n"/>
      <c r="B305" s="35" t="n"/>
      <c r="C305" s="36" t="n"/>
      <c r="D305" s="21" t="n"/>
      <c r="E305" s="20" t="n"/>
      <c r="F305" s="20" t="n"/>
      <c r="G305" s="21" t="n"/>
      <c r="H305" s="21" t="n"/>
      <c r="I305" s="21" t="n"/>
      <c r="J305" s="21" t="n"/>
      <c r="K305" s="22" t="n"/>
      <c r="L305" s="22" t="n"/>
      <c r="M305" s="22" t="n"/>
      <c r="N305" s="10" t="n"/>
      <c r="O305" s="10" t="n"/>
      <c r="P305" s="10" t="n"/>
      <c r="Q305" s="10" t="n"/>
      <c r="R305" s="11" t="n"/>
      <c r="S305" s="11" t="n"/>
    </row>
    <row r="306" ht="49.5" customFormat="1" customHeight="1" s="6">
      <c r="A306" s="21" t="n"/>
      <c r="B306" s="35" t="n"/>
      <c r="C306" s="36" t="n"/>
      <c r="D306" s="21" t="n"/>
      <c r="E306" s="20" t="n"/>
      <c r="F306" s="20" t="n"/>
      <c r="G306" s="21" t="n"/>
      <c r="H306" s="21" t="n"/>
      <c r="I306" s="21" t="n"/>
      <c r="J306" s="21" t="n"/>
      <c r="K306" s="22" t="n"/>
      <c r="L306" s="22" t="n"/>
      <c r="M306" s="22" t="n"/>
      <c r="N306" s="10" t="n"/>
      <c r="O306" s="10" t="n"/>
      <c r="P306" s="10" t="n"/>
      <c r="Q306" s="10" t="n"/>
      <c r="R306" s="11" t="n"/>
      <c r="S306" s="11" t="n"/>
    </row>
    <row r="307" ht="49.5" customFormat="1" customHeight="1" s="6">
      <c r="A307" s="21" t="n"/>
      <c r="B307" s="35" t="n"/>
      <c r="C307" s="36" t="n"/>
      <c r="D307" s="21" t="n"/>
      <c r="E307" s="20" t="n"/>
      <c r="F307" s="20" t="n"/>
      <c r="G307" s="21" t="n"/>
      <c r="H307" s="21" t="n"/>
      <c r="I307" s="21" t="n"/>
      <c r="J307" s="21" t="n"/>
      <c r="K307" s="22" t="n"/>
      <c r="L307" s="22" t="n"/>
      <c r="M307" s="22" t="n"/>
      <c r="N307" s="10" t="n"/>
      <c r="O307" s="10" t="n"/>
      <c r="P307" s="10" t="n"/>
      <c r="Q307" s="10" t="n"/>
      <c r="R307" s="11" t="n"/>
      <c r="S307" s="11" t="n"/>
    </row>
    <row r="308" ht="49.5" customFormat="1" customHeight="1" s="6">
      <c r="A308" s="21" t="n"/>
      <c r="B308" s="35" t="n"/>
      <c r="C308" s="36" t="n"/>
      <c r="D308" s="21" t="n"/>
      <c r="E308" s="20" t="n"/>
      <c r="F308" s="20" t="n"/>
      <c r="G308" s="21" t="n"/>
      <c r="H308" s="21" t="n"/>
      <c r="I308" s="21" t="n"/>
      <c r="J308" s="21" t="n"/>
      <c r="K308" s="22" t="n"/>
      <c r="L308" s="22" t="n"/>
      <c r="M308" s="22" t="n"/>
      <c r="N308" s="10" t="n"/>
      <c r="O308" s="10" t="n"/>
      <c r="P308" s="10" t="n"/>
      <c r="Q308" s="10" t="n"/>
      <c r="R308" s="11" t="n"/>
      <c r="S308" s="11" t="n"/>
    </row>
    <row r="309" ht="49.5" customFormat="1" customHeight="1" s="6">
      <c r="A309" s="21" t="n"/>
      <c r="B309" s="35" t="n"/>
      <c r="C309" s="36" t="n"/>
      <c r="D309" s="21" t="n"/>
      <c r="E309" s="20" t="n"/>
      <c r="F309" s="20" t="n"/>
      <c r="G309" s="21" t="n"/>
      <c r="H309" s="21" t="n"/>
      <c r="I309" s="21" t="n"/>
      <c r="J309" s="21" t="n"/>
      <c r="K309" s="22" t="n"/>
      <c r="L309" s="22" t="n"/>
      <c r="M309" s="22" t="n"/>
      <c r="N309" s="10" t="n"/>
      <c r="O309" s="10" t="n"/>
      <c r="P309" s="10" t="n"/>
      <c r="Q309" s="10" t="n"/>
      <c r="R309" s="11" t="n"/>
      <c r="S309" s="11" t="n"/>
    </row>
    <row r="310" ht="49.5" customFormat="1" customHeight="1" s="6">
      <c r="A310" s="21" t="n"/>
      <c r="B310" s="35" t="n"/>
      <c r="C310" s="36" t="n"/>
      <c r="D310" s="21" t="n"/>
      <c r="E310" s="20" t="n"/>
      <c r="F310" s="20" t="n"/>
      <c r="G310" s="21" t="n"/>
      <c r="H310" s="21" t="n"/>
      <c r="I310" s="21" t="n"/>
      <c r="J310" s="21" t="n"/>
      <c r="K310" s="22" t="n"/>
      <c r="L310" s="22" t="n"/>
      <c r="M310" s="22" t="n"/>
      <c r="N310" s="10" t="n"/>
      <c r="O310" s="10" t="n"/>
      <c r="P310" s="10" t="n"/>
      <c r="Q310" s="10" t="n"/>
      <c r="R310" s="11" t="n"/>
      <c r="S310" s="11" t="n"/>
    </row>
    <row r="311" ht="49.5" customFormat="1" customHeight="1" s="6">
      <c r="A311" s="21" t="n"/>
      <c r="B311" s="35" t="n"/>
      <c r="C311" s="36" t="n"/>
      <c r="D311" s="21" t="n"/>
      <c r="E311" s="20" t="n"/>
      <c r="F311" s="20" t="n"/>
      <c r="G311" s="21" t="n"/>
      <c r="H311" s="21" t="n"/>
      <c r="I311" s="21" t="n"/>
      <c r="J311" s="21" t="n"/>
      <c r="K311" s="22" t="n"/>
      <c r="L311" s="22" t="n"/>
      <c r="M311" s="22" t="n"/>
      <c r="N311" s="10" t="n"/>
      <c r="O311" s="10" t="n"/>
      <c r="P311" s="10" t="n"/>
      <c r="Q311" s="10" t="n"/>
      <c r="R311" s="11" t="n"/>
      <c r="S311" s="11" t="n"/>
    </row>
    <row r="312" ht="49.5" customFormat="1" customHeight="1" s="6">
      <c r="A312" s="21" t="n"/>
      <c r="B312" s="35" t="n"/>
      <c r="C312" s="36" t="n"/>
      <c r="D312" s="21" t="n"/>
      <c r="E312" s="20" t="n"/>
      <c r="F312" s="20" t="n"/>
      <c r="G312" s="21" t="n"/>
      <c r="H312" s="21" t="n"/>
      <c r="I312" s="21" t="n"/>
      <c r="J312" s="21" t="n"/>
      <c r="K312" s="22" t="n"/>
      <c r="L312" s="22" t="n"/>
      <c r="M312" s="22" t="n"/>
      <c r="N312" s="10" t="n"/>
      <c r="O312" s="10" t="n"/>
      <c r="P312" s="10" t="n"/>
      <c r="Q312" s="10" t="n"/>
      <c r="R312" s="11" t="n"/>
      <c r="S312" s="11" t="n"/>
    </row>
    <row r="313" ht="49.5" customFormat="1" customHeight="1" s="6">
      <c r="A313" s="21" t="n"/>
      <c r="B313" s="35" t="n"/>
      <c r="C313" s="36" t="n"/>
      <c r="D313" s="21" t="n"/>
      <c r="E313" s="20" t="n"/>
      <c r="F313" s="20" t="n"/>
      <c r="G313" s="21" t="n"/>
      <c r="H313" s="21" t="n"/>
      <c r="I313" s="21" t="n"/>
      <c r="J313" s="21" t="n"/>
      <c r="K313" s="22" t="n"/>
      <c r="L313" s="22" t="n"/>
      <c r="M313" s="22" t="n"/>
      <c r="N313" s="10" t="n"/>
      <c r="O313" s="10" t="n"/>
      <c r="P313" s="10" t="n"/>
      <c r="Q313" s="10" t="n"/>
      <c r="R313" s="11" t="n"/>
      <c r="S313" s="11" t="n"/>
    </row>
    <row r="314" ht="49.5" customFormat="1" customHeight="1" s="6">
      <c r="A314" s="21" t="n"/>
      <c r="B314" s="35" t="n"/>
      <c r="C314" s="36" t="n"/>
      <c r="D314" s="21" t="n"/>
      <c r="E314" s="20" t="n"/>
      <c r="F314" s="20" t="n"/>
      <c r="G314" s="21" t="n"/>
      <c r="H314" s="21" t="n"/>
      <c r="I314" s="21" t="n"/>
      <c r="J314" s="21" t="n"/>
      <c r="K314" s="22" t="n"/>
      <c r="L314" s="22" t="n"/>
      <c r="M314" s="22" t="n"/>
      <c r="N314" s="10" t="n"/>
      <c r="O314" s="10" t="n"/>
      <c r="P314" s="10" t="n"/>
      <c r="Q314" s="10" t="n"/>
      <c r="R314" s="11" t="n"/>
      <c r="S314" s="11" t="n"/>
    </row>
    <row r="315" ht="49.5" customFormat="1" customHeight="1" s="6">
      <c r="A315" s="21" t="n"/>
      <c r="B315" s="35" t="n"/>
      <c r="C315" s="36" t="n"/>
      <c r="D315" s="21" t="n"/>
      <c r="E315" s="20" t="n"/>
      <c r="F315" s="20" t="n"/>
      <c r="G315" s="21" t="n"/>
      <c r="H315" s="21" t="n"/>
      <c r="I315" s="21" t="n"/>
      <c r="J315" s="21" t="n"/>
      <c r="K315" s="22" t="n"/>
      <c r="L315" s="22" t="n"/>
      <c r="M315" s="22" t="n"/>
      <c r="N315" s="10" t="n"/>
      <c r="O315" s="10" t="n"/>
      <c r="P315" s="10" t="n"/>
      <c r="Q315" s="10" t="n"/>
      <c r="R315" s="11" t="n"/>
      <c r="S315" s="11" t="n"/>
    </row>
    <row r="316" ht="49.5" customFormat="1" customHeight="1" s="6">
      <c r="A316" s="21" t="n"/>
      <c r="B316" s="35" t="n"/>
      <c r="C316" s="36" t="n"/>
      <c r="D316" s="21" t="n"/>
      <c r="E316" s="20" t="n"/>
      <c r="F316" s="20" t="n"/>
      <c r="G316" s="21" t="n"/>
      <c r="H316" s="21" t="n"/>
      <c r="I316" s="21" t="n"/>
      <c r="J316" s="21" t="n"/>
      <c r="K316" s="22" t="n"/>
      <c r="L316" s="22" t="n"/>
      <c r="M316" s="22" t="n"/>
      <c r="N316" s="10" t="n"/>
      <c r="O316" s="10" t="n"/>
      <c r="P316" s="10" t="n"/>
      <c r="Q316" s="10" t="n"/>
      <c r="R316" s="11" t="n"/>
      <c r="S316" s="11" t="n"/>
    </row>
    <row r="317" ht="49.5" customFormat="1" customHeight="1" s="6">
      <c r="A317" s="21" t="n"/>
      <c r="B317" s="35" t="n"/>
      <c r="C317" s="36" t="n"/>
      <c r="D317" s="21" t="n"/>
      <c r="E317" s="20" t="n"/>
      <c r="F317" s="20" t="n"/>
      <c r="G317" s="21" t="n"/>
      <c r="H317" s="21" t="n"/>
      <c r="I317" s="21" t="n"/>
      <c r="J317" s="21" t="n"/>
      <c r="K317" s="22" t="n"/>
      <c r="L317" s="22" t="n"/>
      <c r="M317" s="22" t="n"/>
      <c r="N317" s="10" t="n"/>
      <c r="O317" s="10" t="n"/>
      <c r="P317" s="10" t="n"/>
      <c r="Q317" s="10" t="n"/>
      <c r="R317" s="11" t="n"/>
      <c r="S317" s="11" t="n"/>
    </row>
    <row r="318" ht="49.5" customFormat="1" customHeight="1" s="6">
      <c r="A318" s="21" t="n"/>
      <c r="B318" s="35" t="n"/>
      <c r="C318" s="36" t="n"/>
      <c r="D318" s="21" t="n"/>
      <c r="E318" s="20" t="n"/>
      <c r="F318" s="20" t="n"/>
      <c r="G318" s="21" t="n"/>
      <c r="H318" s="21" t="n"/>
      <c r="I318" s="21" t="n"/>
      <c r="J318" s="21" t="n"/>
      <c r="K318" s="22" t="n"/>
      <c r="L318" s="22" t="n"/>
      <c r="M318" s="22" t="n"/>
      <c r="N318" s="10" t="n"/>
      <c r="O318" s="10" t="n"/>
      <c r="P318" s="10" t="n"/>
      <c r="Q318" s="10" t="n"/>
      <c r="R318" s="11" t="n"/>
      <c r="S318" s="11" t="n"/>
    </row>
    <row r="319" ht="49.5" customFormat="1" customHeight="1" s="6">
      <c r="A319" s="21" t="n"/>
      <c r="B319" s="35" t="n"/>
      <c r="C319" s="36" t="n"/>
      <c r="D319" s="21" t="n"/>
      <c r="E319" s="20" t="n"/>
      <c r="F319" s="20" t="n"/>
      <c r="G319" s="21" t="n"/>
      <c r="H319" s="21" t="n"/>
      <c r="I319" s="21" t="n"/>
      <c r="J319" s="21" t="n"/>
      <c r="K319" s="22" t="n"/>
      <c r="L319" s="22" t="n"/>
      <c r="M319" s="22" t="n"/>
      <c r="N319" s="10" t="n"/>
      <c r="O319" s="10" t="n"/>
      <c r="P319" s="10" t="n"/>
      <c r="Q319" s="10" t="n"/>
      <c r="R319" s="11" t="n"/>
      <c r="S319" s="11" t="n"/>
    </row>
    <row r="320" ht="49.5" customFormat="1" customHeight="1" s="6">
      <c r="A320" s="21" t="n"/>
      <c r="B320" s="35" t="n"/>
      <c r="C320" s="36" t="n"/>
      <c r="D320" s="21" t="n"/>
      <c r="E320" s="20" t="n"/>
      <c r="F320" s="20" t="n"/>
      <c r="G320" s="21" t="n"/>
      <c r="H320" s="21" t="n"/>
      <c r="I320" s="21" t="n"/>
      <c r="J320" s="21" t="n"/>
      <c r="K320" s="22" t="n"/>
      <c r="L320" s="22" t="n"/>
      <c r="M320" s="22" t="n"/>
      <c r="N320" s="10" t="n"/>
      <c r="O320" s="10" t="n"/>
      <c r="P320" s="10" t="n"/>
      <c r="Q320" s="10" t="n"/>
      <c r="R320" s="11" t="n"/>
      <c r="S320" s="11" t="n"/>
    </row>
    <row r="321" ht="49.5" customFormat="1" customHeight="1" s="6">
      <c r="A321" s="21" t="n"/>
      <c r="B321" s="35" t="n"/>
      <c r="C321" s="36" t="n"/>
      <c r="D321" s="21" t="n"/>
      <c r="E321" s="20" t="n"/>
      <c r="F321" s="20" t="n"/>
      <c r="G321" s="21" t="n"/>
      <c r="H321" s="21" t="n"/>
      <c r="I321" s="21" t="n"/>
      <c r="J321" s="21" t="n"/>
      <c r="K321" s="22" t="n"/>
      <c r="L321" s="22" t="n"/>
      <c r="M321" s="22" t="n"/>
      <c r="N321" s="10" t="n"/>
      <c r="O321" s="10" t="n"/>
      <c r="P321" s="10" t="n"/>
      <c r="Q321" s="10" t="n"/>
      <c r="R321" s="11" t="n"/>
      <c r="S321" s="11" t="n"/>
    </row>
    <row r="322" ht="49.5" customFormat="1" customHeight="1" s="6">
      <c r="A322" s="21" t="n"/>
      <c r="B322" s="35" t="n"/>
      <c r="C322" s="36" t="n"/>
      <c r="D322" s="21" t="n"/>
      <c r="E322" s="20" t="n"/>
      <c r="F322" s="20" t="n"/>
      <c r="G322" s="21" t="n"/>
      <c r="H322" s="21" t="n"/>
      <c r="I322" s="21" t="n"/>
      <c r="J322" s="21" t="n"/>
      <c r="K322" s="22" t="n"/>
      <c r="L322" s="22" t="n"/>
      <c r="M322" s="22" t="n"/>
      <c r="N322" s="10" t="n"/>
      <c r="O322" s="10" t="n"/>
      <c r="P322" s="10" t="n"/>
      <c r="Q322" s="10" t="n"/>
      <c r="R322" s="11" t="n"/>
      <c r="S322" s="11" t="n"/>
    </row>
    <row r="323" ht="49.5" customFormat="1" customHeight="1" s="6">
      <c r="A323" s="21" t="n"/>
      <c r="B323" s="35" t="n"/>
      <c r="C323" s="36" t="n"/>
      <c r="D323" s="21" t="n"/>
      <c r="E323" s="20" t="n"/>
      <c r="F323" s="20" t="n"/>
      <c r="G323" s="21" t="n"/>
      <c r="H323" s="21" t="n"/>
      <c r="I323" s="21" t="n"/>
      <c r="J323" s="21" t="n"/>
      <c r="K323" s="22" t="n"/>
      <c r="L323" s="22" t="n"/>
      <c r="M323" s="22" t="n"/>
      <c r="N323" s="10" t="n"/>
      <c r="O323" s="10" t="n"/>
      <c r="P323" s="10" t="n"/>
      <c r="Q323" s="10" t="n"/>
      <c r="R323" s="11" t="n"/>
      <c r="S323" s="11" t="n"/>
    </row>
    <row r="324" ht="49.5" customFormat="1" customHeight="1" s="6">
      <c r="A324" s="21" t="n"/>
      <c r="B324" s="35" t="n"/>
      <c r="C324" s="36" t="n"/>
      <c r="D324" s="21" t="n"/>
      <c r="E324" s="20" t="n"/>
      <c r="F324" s="20" t="n"/>
      <c r="G324" s="21" t="n"/>
      <c r="H324" s="21" t="n"/>
      <c r="I324" s="21" t="n"/>
      <c r="J324" s="21" t="n"/>
      <c r="K324" s="22" t="n"/>
      <c r="L324" s="22" t="n"/>
      <c r="M324" s="22" t="n"/>
      <c r="N324" s="10" t="n"/>
      <c r="O324" s="10" t="n"/>
      <c r="P324" s="10" t="n"/>
      <c r="Q324" s="10" t="n"/>
      <c r="R324" s="11" t="n"/>
      <c r="S324" s="11" t="n"/>
    </row>
    <row r="325" ht="49.5" customFormat="1" customHeight="1" s="6">
      <c r="A325" s="21" t="n"/>
      <c r="B325" s="35" t="n"/>
      <c r="C325" s="36" t="n"/>
      <c r="D325" s="21" t="n"/>
      <c r="E325" s="20" t="n"/>
      <c r="F325" s="20" t="n"/>
      <c r="G325" s="21" t="n"/>
      <c r="H325" s="21" t="n"/>
      <c r="I325" s="21" t="n"/>
      <c r="J325" s="21" t="n"/>
      <c r="K325" s="22" t="n"/>
      <c r="L325" s="22" t="n"/>
      <c r="M325" s="22" t="n"/>
      <c r="N325" s="10" t="n"/>
      <c r="O325" s="10" t="n"/>
      <c r="P325" s="10" t="n"/>
      <c r="Q325" s="10" t="n"/>
      <c r="R325" s="11" t="n"/>
      <c r="S325" s="11" t="n"/>
    </row>
    <row r="326" ht="49.5" customFormat="1" customHeight="1" s="6">
      <c r="A326" s="21" t="n"/>
      <c r="B326" s="35" t="n"/>
      <c r="C326" s="36" t="n"/>
      <c r="D326" s="21" t="n"/>
      <c r="E326" s="20" t="n"/>
      <c r="F326" s="20" t="n"/>
      <c r="G326" s="21" t="n"/>
      <c r="H326" s="21" t="n"/>
      <c r="I326" s="21" t="n"/>
      <c r="J326" s="21" t="n"/>
      <c r="K326" s="22" t="n"/>
      <c r="L326" s="22" t="n"/>
      <c r="M326" s="22" t="n"/>
      <c r="N326" s="10" t="n"/>
      <c r="O326" s="10" t="n"/>
      <c r="P326" s="10" t="n"/>
      <c r="Q326" s="10" t="n"/>
      <c r="R326" s="11" t="n"/>
      <c r="S326" s="11" t="n"/>
    </row>
    <row r="327" ht="49.5" customFormat="1" customHeight="1" s="6">
      <c r="A327" s="21" t="n"/>
      <c r="B327" s="35" t="n"/>
      <c r="C327" s="36" t="n"/>
      <c r="D327" s="21" t="n"/>
      <c r="E327" s="20" t="n"/>
      <c r="F327" s="20" t="n"/>
      <c r="G327" s="21" t="n"/>
      <c r="H327" s="21" t="n"/>
      <c r="I327" s="21" t="n"/>
      <c r="J327" s="21" t="n"/>
      <c r="K327" s="22" t="n"/>
      <c r="L327" s="22" t="n"/>
      <c r="M327" s="22" t="n"/>
      <c r="N327" s="10" t="n"/>
      <c r="O327" s="10" t="n"/>
      <c r="P327" s="10" t="n"/>
      <c r="Q327" s="10" t="n"/>
      <c r="R327" s="11" t="n"/>
      <c r="S327" s="11" t="n"/>
    </row>
    <row r="328" ht="49.5" customFormat="1" customHeight="1" s="6">
      <c r="A328" s="21" t="n"/>
      <c r="B328" s="35" t="n"/>
      <c r="C328" s="36" t="n"/>
      <c r="D328" s="21" t="n"/>
      <c r="E328" s="20" t="n"/>
      <c r="F328" s="20" t="n"/>
      <c r="G328" s="21" t="n"/>
      <c r="H328" s="21" t="n"/>
      <c r="I328" s="21" t="n"/>
      <c r="J328" s="21" t="n"/>
      <c r="K328" s="22" t="n"/>
      <c r="L328" s="22" t="n"/>
      <c r="M328" s="22" t="n"/>
      <c r="N328" s="10" t="n"/>
      <c r="O328" s="10" t="n"/>
      <c r="P328" s="10" t="n"/>
      <c r="Q328" s="10" t="n"/>
      <c r="R328" s="11" t="n"/>
      <c r="S328" s="11" t="n"/>
    </row>
    <row r="329" ht="49.5" customFormat="1" customHeight="1" s="6">
      <c r="A329" s="21" t="n"/>
      <c r="B329" s="35" t="n"/>
      <c r="C329" s="36" t="n"/>
      <c r="D329" s="21" t="n"/>
      <c r="E329" s="20" t="n"/>
      <c r="F329" s="20" t="n"/>
      <c r="G329" s="21" t="n"/>
      <c r="H329" s="21" t="n"/>
      <c r="I329" s="21" t="n"/>
      <c r="J329" s="21" t="n"/>
      <c r="K329" s="22" t="n"/>
      <c r="L329" s="22" t="n"/>
      <c r="M329" s="22" t="n"/>
      <c r="N329" s="10" t="n"/>
      <c r="O329" s="10" t="n"/>
      <c r="P329" s="10" t="n"/>
      <c r="Q329" s="10" t="n"/>
      <c r="R329" s="11" t="n"/>
      <c r="S329" s="11" t="n"/>
    </row>
    <row r="330" ht="49.5" customFormat="1" customHeight="1" s="6">
      <c r="A330" s="21" t="n"/>
      <c r="B330" s="35" t="n"/>
      <c r="C330" s="36" t="n"/>
      <c r="D330" s="21" t="n"/>
      <c r="E330" s="20" t="n"/>
      <c r="F330" s="20" t="n"/>
      <c r="G330" s="21" t="n"/>
      <c r="H330" s="21" t="n"/>
      <c r="I330" s="21" t="n"/>
      <c r="J330" s="21" t="n"/>
      <c r="K330" s="22" t="n"/>
      <c r="L330" s="22" t="n"/>
      <c r="M330" s="22" t="n"/>
      <c r="N330" s="10" t="n"/>
      <c r="O330" s="10" t="n"/>
      <c r="P330" s="10" t="n"/>
      <c r="Q330" s="10" t="n"/>
      <c r="R330" s="11" t="n"/>
      <c r="S330" s="11" t="n"/>
    </row>
    <row r="331" ht="49.5" customFormat="1" customHeight="1" s="6">
      <c r="A331" s="21" t="n"/>
      <c r="B331" s="35" t="n"/>
      <c r="C331" s="36" t="n"/>
      <c r="D331" s="21" t="n"/>
      <c r="E331" s="20" t="n"/>
      <c r="F331" s="20" t="n"/>
      <c r="G331" s="21" t="n"/>
      <c r="H331" s="21" t="n"/>
      <c r="I331" s="21" t="n"/>
      <c r="J331" s="21" t="n"/>
      <c r="K331" s="22" t="n"/>
      <c r="L331" s="22" t="n"/>
      <c r="M331" s="22" t="n"/>
      <c r="N331" s="10" t="n"/>
      <c r="O331" s="10" t="n"/>
      <c r="P331" s="10" t="n"/>
      <c r="Q331" s="10" t="n"/>
      <c r="R331" s="11" t="n"/>
      <c r="S331" s="11" t="n"/>
    </row>
    <row r="332" ht="49.5" customFormat="1" customHeight="1" s="6">
      <c r="A332" s="21" t="n"/>
      <c r="B332" s="35" t="n"/>
      <c r="C332" s="36" t="n"/>
      <c r="D332" s="21" t="n"/>
      <c r="E332" s="20" t="n"/>
      <c r="F332" s="20" t="n"/>
      <c r="G332" s="21" t="n"/>
      <c r="H332" s="21" t="n"/>
      <c r="I332" s="21" t="n"/>
      <c r="J332" s="21" t="n"/>
      <c r="K332" s="22" t="n"/>
      <c r="L332" s="22" t="n"/>
      <c r="M332" s="22" t="n"/>
      <c r="N332" s="10" t="n"/>
      <c r="O332" s="10" t="n"/>
      <c r="P332" s="10" t="n"/>
      <c r="Q332" s="10" t="n"/>
      <c r="R332" s="11" t="n"/>
      <c r="S332" s="11" t="n"/>
    </row>
    <row r="333" ht="49.5" customFormat="1" customHeight="1" s="6">
      <c r="A333" s="21" t="n"/>
      <c r="B333" s="35" t="n"/>
      <c r="C333" s="36" t="n"/>
      <c r="D333" s="21" t="n"/>
      <c r="E333" s="20" t="n"/>
      <c r="F333" s="20" t="n"/>
      <c r="G333" s="21" t="n"/>
      <c r="H333" s="21" t="n"/>
      <c r="I333" s="21" t="n"/>
      <c r="J333" s="21" t="n"/>
      <c r="K333" s="22" t="n"/>
      <c r="L333" s="22" t="n"/>
      <c r="M333" s="22" t="n"/>
      <c r="N333" s="10" t="n"/>
      <c r="O333" s="10" t="n"/>
      <c r="P333" s="10" t="n"/>
      <c r="Q333" s="10" t="n"/>
      <c r="R333" s="11" t="n"/>
      <c r="S333" s="11" t="n"/>
    </row>
    <row r="334" ht="49.5" customFormat="1" customHeight="1" s="6">
      <c r="A334" s="21" t="n"/>
      <c r="B334" s="35" t="n"/>
      <c r="C334" s="36" t="n"/>
      <c r="D334" s="21" t="n"/>
      <c r="E334" s="20" t="n"/>
      <c r="F334" s="20" t="n"/>
      <c r="G334" s="21" t="n"/>
      <c r="H334" s="21" t="n"/>
      <c r="I334" s="21" t="n"/>
      <c r="J334" s="21" t="n"/>
      <c r="K334" s="22" t="n"/>
      <c r="L334" s="22" t="n"/>
      <c r="M334" s="22" t="n"/>
      <c r="N334" s="10" t="n"/>
      <c r="O334" s="10" t="n"/>
      <c r="P334" s="10" t="n"/>
      <c r="Q334" s="10" t="n"/>
      <c r="R334" s="11" t="n"/>
      <c r="S334" s="11" t="n"/>
    </row>
    <row r="335" ht="49.5" customFormat="1" customHeight="1" s="6">
      <c r="A335" s="21" t="n"/>
      <c r="B335" s="35" t="n"/>
      <c r="C335" s="36" t="n"/>
      <c r="D335" s="21" t="n"/>
      <c r="E335" s="20" t="n"/>
      <c r="F335" s="20" t="n"/>
      <c r="G335" s="21" t="n"/>
      <c r="H335" s="21" t="n"/>
      <c r="I335" s="21" t="n"/>
      <c r="J335" s="21" t="n"/>
      <c r="K335" s="22" t="n"/>
      <c r="L335" s="22" t="n"/>
      <c r="M335" s="22" t="n"/>
      <c r="N335" s="10" t="n"/>
      <c r="O335" s="10" t="n"/>
      <c r="P335" s="10" t="n"/>
      <c r="Q335" s="10" t="n"/>
      <c r="R335" s="11" t="n"/>
      <c r="S335" s="11" t="n"/>
    </row>
    <row r="336" ht="49.5" customFormat="1" customHeight="1" s="6">
      <c r="A336" s="21" t="n"/>
      <c r="B336" s="35" t="n"/>
      <c r="C336" s="36" t="n"/>
      <c r="D336" s="21" t="n"/>
      <c r="E336" s="20" t="n"/>
      <c r="F336" s="20" t="n"/>
      <c r="G336" s="21" t="n"/>
      <c r="H336" s="21" t="n"/>
      <c r="I336" s="21" t="n"/>
      <c r="J336" s="21" t="n"/>
      <c r="K336" s="22" t="n"/>
      <c r="L336" s="22" t="n"/>
      <c r="M336" s="22" t="n"/>
      <c r="N336" s="10" t="n"/>
      <c r="O336" s="10" t="n"/>
      <c r="P336" s="10" t="n"/>
      <c r="Q336" s="10" t="n"/>
      <c r="R336" s="11" t="n"/>
      <c r="S336" s="11" t="n"/>
    </row>
    <row r="337" ht="49.5" customFormat="1" customHeight="1" s="6">
      <c r="A337" s="21" t="n"/>
      <c r="B337" s="35" t="n"/>
      <c r="C337" s="36" t="n"/>
      <c r="D337" s="21" t="n"/>
      <c r="E337" s="20" t="n"/>
      <c r="F337" s="20" t="n"/>
      <c r="G337" s="21" t="n"/>
      <c r="H337" s="21" t="n"/>
      <c r="I337" s="21" t="n"/>
      <c r="J337" s="21" t="n"/>
      <c r="K337" s="22" t="n"/>
      <c r="L337" s="22" t="n"/>
      <c r="M337" s="22" t="n"/>
      <c r="N337" s="10" t="n"/>
      <c r="O337" s="10" t="n"/>
      <c r="P337" s="10" t="n"/>
      <c r="Q337" s="10" t="n"/>
      <c r="R337" s="11" t="n"/>
      <c r="S337" s="11" t="n"/>
    </row>
    <row r="338" ht="49.5" customFormat="1" customHeight="1" s="6">
      <c r="A338" s="21" t="n"/>
      <c r="B338" s="35" t="n"/>
      <c r="C338" s="36" t="n"/>
      <c r="D338" s="21" t="n"/>
      <c r="E338" s="20" t="n"/>
      <c r="F338" s="20" t="n"/>
      <c r="G338" s="21" t="n"/>
      <c r="H338" s="21" t="n"/>
      <c r="I338" s="21" t="n"/>
      <c r="J338" s="21" t="n"/>
      <c r="K338" s="22" t="n"/>
      <c r="L338" s="22" t="n"/>
      <c r="M338" s="22" t="n"/>
      <c r="N338" s="10" t="n"/>
      <c r="O338" s="10" t="n"/>
      <c r="P338" s="10" t="n"/>
      <c r="Q338" s="10" t="n"/>
      <c r="R338" s="11" t="n"/>
      <c r="S338" s="11" t="n"/>
    </row>
    <row r="339" ht="49.5" customFormat="1" customHeight="1" s="6">
      <c r="A339" s="21" t="n"/>
      <c r="B339" s="35" t="n"/>
      <c r="C339" s="36" t="n"/>
      <c r="D339" s="21" t="n"/>
      <c r="E339" s="20" t="n"/>
      <c r="F339" s="20" t="n"/>
      <c r="G339" s="21" t="n"/>
      <c r="H339" s="21" t="n"/>
      <c r="I339" s="21" t="n"/>
      <c r="J339" s="21" t="n"/>
      <c r="K339" s="22" t="n"/>
      <c r="L339" s="22" t="n"/>
      <c r="M339" s="22" t="n"/>
      <c r="N339" s="10" t="n"/>
      <c r="O339" s="10" t="n"/>
      <c r="P339" s="10" t="n"/>
      <c r="Q339" s="10" t="n"/>
      <c r="R339" s="11" t="n"/>
      <c r="S339" s="11" t="n"/>
    </row>
    <row r="340" ht="49.5" customFormat="1" customHeight="1" s="6">
      <c r="A340" s="21" t="n"/>
      <c r="B340" s="35" t="n"/>
      <c r="C340" s="36" t="n"/>
      <c r="D340" s="21" t="n"/>
      <c r="E340" s="20" t="n"/>
      <c r="F340" s="20" t="n"/>
      <c r="G340" s="21" t="n"/>
      <c r="H340" s="21" t="n"/>
      <c r="I340" s="21" t="n"/>
      <c r="J340" s="21" t="n"/>
      <c r="K340" s="22" t="n"/>
      <c r="L340" s="22" t="n"/>
      <c r="M340" s="22" t="n"/>
      <c r="N340" s="10" t="n"/>
      <c r="O340" s="10" t="n"/>
      <c r="P340" s="10" t="n"/>
      <c r="Q340" s="10" t="n"/>
      <c r="R340" s="11" t="n"/>
      <c r="S340" s="11" t="n"/>
    </row>
    <row r="341" ht="49.5" customFormat="1" customHeight="1" s="6">
      <c r="A341" s="21" t="n"/>
      <c r="B341" s="35" t="n"/>
      <c r="C341" s="36" t="n"/>
      <c r="D341" s="21" t="n"/>
      <c r="E341" s="20" t="n"/>
      <c r="F341" s="20" t="n"/>
      <c r="G341" s="21" t="n"/>
      <c r="H341" s="21" t="n"/>
      <c r="I341" s="21" t="n"/>
      <c r="J341" s="21" t="n"/>
      <c r="K341" s="22" t="n"/>
      <c r="L341" s="22" t="n"/>
      <c r="M341" s="22" t="n"/>
      <c r="N341" s="10" t="n"/>
      <c r="O341" s="10" t="n"/>
      <c r="P341" s="10" t="n"/>
      <c r="Q341" s="10" t="n"/>
      <c r="R341" s="11" t="n"/>
      <c r="S341" s="11" t="n"/>
    </row>
    <row r="342" ht="49.5" customFormat="1" customHeight="1" s="6">
      <c r="A342" s="21" t="n"/>
      <c r="B342" s="35" t="n"/>
      <c r="C342" s="36" t="n"/>
      <c r="D342" s="21" t="n"/>
      <c r="E342" s="20" t="n"/>
      <c r="F342" s="20" t="n"/>
      <c r="G342" s="21" t="n"/>
      <c r="H342" s="21" t="n"/>
      <c r="I342" s="21" t="n"/>
      <c r="J342" s="21" t="n"/>
      <c r="K342" s="22" t="n"/>
      <c r="L342" s="22" t="n"/>
      <c r="M342" s="22" t="n"/>
      <c r="N342" s="10" t="n"/>
      <c r="O342" s="10" t="n"/>
      <c r="P342" s="10" t="n"/>
      <c r="Q342" s="10" t="n"/>
      <c r="R342" s="11" t="n"/>
      <c r="S342" s="11" t="n"/>
    </row>
    <row r="343" ht="49.5" customFormat="1" customHeight="1" s="6">
      <c r="A343" s="21" t="n"/>
      <c r="B343" s="35" t="n"/>
      <c r="C343" s="36" t="n"/>
      <c r="D343" s="21" t="n"/>
      <c r="E343" s="20" t="n"/>
      <c r="F343" s="20" t="n"/>
      <c r="G343" s="21" t="n"/>
      <c r="H343" s="21" t="n"/>
      <c r="I343" s="21" t="n"/>
      <c r="J343" s="21" t="n"/>
      <c r="K343" s="22" t="n"/>
      <c r="L343" s="22" t="n"/>
      <c r="M343" s="22" t="n"/>
      <c r="N343" s="10" t="n"/>
      <c r="O343" s="10" t="n"/>
      <c r="P343" s="10" t="n"/>
      <c r="Q343" s="10" t="n"/>
      <c r="R343" s="11" t="n"/>
      <c r="S343" s="11" t="n"/>
    </row>
    <row r="344" ht="49.5" customFormat="1" customHeight="1" s="6">
      <c r="A344" s="21" t="n"/>
      <c r="B344" s="35" t="n"/>
      <c r="C344" s="36" t="n"/>
      <c r="D344" s="21" t="n"/>
      <c r="E344" s="20" t="n"/>
      <c r="F344" s="20" t="n"/>
      <c r="G344" s="21" t="n"/>
      <c r="H344" s="21" t="n"/>
      <c r="I344" s="21" t="n"/>
      <c r="J344" s="21" t="n"/>
      <c r="K344" s="22" t="n"/>
      <c r="L344" s="22" t="n"/>
      <c r="M344" s="22" t="n"/>
      <c r="N344" s="10" t="n"/>
      <c r="O344" s="10" t="n"/>
      <c r="P344" s="10" t="n"/>
      <c r="Q344" s="10" t="n"/>
      <c r="R344" s="11" t="n"/>
      <c r="S344" s="11" t="n"/>
    </row>
    <row r="345" ht="49.5" customFormat="1" customHeight="1" s="6">
      <c r="A345" s="21" t="n"/>
      <c r="B345" s="35" t="n"/>
      <c r="C345" s="36" t="n"/>
      <c r="D345" s="21" t="n"/>
      <c r="E345" s="20" t="n"/>
      <c r="F345" s="20" t="n"/>
      <c r="G345" s="21" t="n"/>
      <c r="H345" s="21" t="n"/>
      <c r="I345" s="21" t="n"/>
      <c r="J345" s="21" t="n"/>
      <c r="K345" s="22" t="n"/>
      <c r="L345" s="22" t="n"/>
      <c r="M345" s="22" t="n"/>
      <c r="N345" s="10" t="n"/>
      <c r="O345" s="10" t="n"/>
      <c r="P345" s="10" t="n"/>
      <c r="Q345" s="10" t="n"/>
      <c r="R345" s="11" t="n"/>
      <c r="S345" s="11" t="n"/>
    </row>
    <row r="346" ht="49.5" customFormat="1" customHeight="1" s="6">
      <c r="A346" s="21" t="n"/>
      <c r="B346" s="35" t="n"/>
      <c r="C346" s="36" t="n"/>
      <c r="D346" s="21" t="n"/>
      <c r="E346" s="20" t="n"/>
      <c r="F346" s="20" t="n"/>
      <c r="G346" s="21" t="n"/>
      <c r="H346" s="21" t="n"/>
      <c r="I346" s="21" t="n"/>
      <c r="J346" s="21" t="n"/>
      <c r="K346" s="22" t="n"/>
      <c r="L346" s="22" t="n"/>
      <c r="M346" s="22" t="n"/>
      <c r="N346" s="10" t="n"/>
      <c r="O346" s="10" t="n"/>
      <c r="P346" s="10" t="n"/>
      <c r="Q346" s="10" t="n"/>
      <c r="R346" s="11" t="n"/>
      <c r="S346" s="11" t="n"/>
    </row>
    <row r="347" ht="49.5" customFormat="1" customHeight="1" s="6">
      <c r="A347" s="21" t="n"/>
      <c r="B347" s="35" t="n"/>
      <c r="C347" s="36" t="n"/>
      <c r="D347" s="21" t="n"/>
      <c r="E347" s="20" t="n"/>
      <c r="F347" s="20" t="n"/>
      <c r="G347" s="21" t="n"/>
      <c r="H347" s="21" t="n"/>
      <c r="I347" s="21" t="n"/>
      <c r="J347" s="21" t="n"/>
      <c r="K347" s="22" t="n"/>
      <c r="L347" s="22" t="n"/>
      <c r="M347" s="22" t="n"/>
      <c r="N347" s="10" t="n"/>
      <c r="O347" s="10" t="n"/>
      <c r="P347" s="10" t="n"/>
      <c r="Q347" s="10" t="n"/>
      <c r="R347" s="11" t="n"/>
      <c r="S347" s="11" t="n"/>
    </row>
    <row r="348" ht="49.5" customFormat="1" customHeight="1" s="6">
      <c r="A348" s="21" t="n"/>
      <c r="B348" s="35" t="n"/>
      <c r="C348" s="36" t="n"/>
      <c r="D348" s="21" t="n"/>
      <c r="E348" s="20" t="n"/>
      <c r="F348" s="20" t="n"/>
      <c r="G348" s="21" t="n"/>
      <c r="H348" s="21" t="n"/>
      <c r="I348" s="21" t="n"/>
      <c r="J348" s="21" t="n"/>
      <c r="K348" s="22" t="n"/>
      <c r="L348" s="22" t="n"/>
      <c r="M348" s="22" t="n"/>
      <c r="N348" s="10" t="n"/>
      <c r="O348" s="10" t="n"/>
      <c r="P348" s="10" t="n"/>
      <c r="Q348" s="10" t="n"/>
      <c r="R348" s="11" t="n"/>
      <c r="S348" s="11" t="n"/>
    </row>
    <row r="349" ht="49.5" customFormat="1" customHeight="1" s="6">
      <c r="A349" s="21" t="n"/>
      <c r="B349" s="35" t="n"/>
      <c r="C349" s="36" t="n"/>
      <c r="D349" s="21" t="n"/>
      <c r="E349" s="20" t="n"/>
      <c r="F349" s="20" t="n"/>
      <c r="G349" s="21" t="n"/>
      <c r="H349" s="21" t="n"/>
      <c r="I349" s="21" t="n"/>
      <c r="J349" s="21" t="n"/>
      <c r="K349" s="22" t="n"/>
      <c r="L349" s="22" t="n"/>
      <c r="M349" s="22" t="n"/>
      <c r="N349" s="10" t="n"/>
      <c r="O349" s="10" t="n"/>
      <c r="P349" s="10" t="n"/>
      <c r="Q349" s="10" t="n"/>
      <c r="R349" s="11" t="n"/>
      <c r="S349" s="11" t="n"/>
    </row>
    <row r="350" ht="49.5" customFormat="1" customHeight="1" s="6">
      <c r="A350" s="21" t="n"/>
      <c r="B350" s="35" t="n"/>
      <c r="C350" s="36" t="n"/>
      <c r="D350" s="21" t="n"/>
      <c r="E350" s="20" t="n"/>
      <c r="F350" s="20" t="n"/>
      <c r="G350" s="21" t="n"/>
      <c r="H350" s="21" t="n"/>
      <c r="I350" s="21" t="n"/>
      <c r="J350" s="21" t="n"/>
      <c r="K350" s="22" t="n"/>
      <c r="L350" s="22" t="n"/>
      <c r="M350" s="22" t="n"/>
      <c r="N350" s="10" t="n"/>
      <c r="O350" s="10" t="n"/>
      <c r="P350" s="10" t="n"/>
      <c r="Q350" s="10" t="n"/>
      <c r="R350" s="11" t="n"/>
      <c r="S350" s="11" t="n"/>
    </row>
    <row r="351" ht="49.5" customFormat="1" customHeight="1" s="6">
      <c r="A351" s="21" t="n"/>
      <c r="B351" s="35" t="n"/>
      <c r="C351" s="36" t="n"/>
      <c r="D351" s="21" t="n"/>
      <c r="E351" s="20" t="n"/>
      <c r="F351" s="20" t="n"/>
      <c r="G351" s="21" t="n"/>
      <c r="H351" s="21" t="n"/>
      <c r="I351" s="21" t="n"/>
      <c r="J351" s="21" t="n"/>
      <c r="K351" s="22" t="n"/>
      <c r="L351" s="22" t="n"/>
      <c r="M351" s="22" t="n"/>
      <c r="N351" s="10" t="n"/>
      <c r="O351" s="10" t="n"/>
      <c r="P351" s="10" t="n"/>
      <c r="Q351" s="10" t="n"/>
      <c r="R351" s="11" t="n"/>
      <c r="S351" s="11" t="n"/>
    </row>
    <row r="352" ht="49.5" customFormat="1" customHeight="1" s="6">
      <c r="A352" s="21" t="n"/>
      <c r="B352" s="35" t="n"/>
      <c r="C352" s="36" t="n"/>
      <c r="D352" s="21" t="n"/>
      <c r="E352" s="20" t="n"/>
      <c r="F352" s="20" t="n"/>
      <c r="G352" s="21" t="n"/>
      <c r="H352" s="21" t="n"/>
      <c r="I352" s="21" t="n"/>
      <c r="J352" s="21" t="n"/>
      <c r="K352" s="22" t="n"/>
      <c r="L352" s="22" t="n"/>
      <c r="M352" s="22" t="n"/>
      <c r="N352" s="10" t="n"/>
      <c r="O352" s="10" t="n"/>
      <c r="P352" s="10" t="n"/>
      <c r="Q352" s="10" t="n"/>
      <c r="R352" s="11" t="n"/>
      <c r="S352" s="11" t="n"/>
    </row>
    <row r="353" ht="49.5" customFormat="1" customHeight="1" s="6">
      <c r="A353" s="21" t="n"/>
      <c r="B353" s="35" t="n"/>
      <c r="C353" s="36" t="n"/>
      <c r="D353" s="21" t="n"/>
      <c r="E353" s="20" t="n"/>
      <c r="F353" s="20" t="n"/>
      <c r="G353" s="21" t="n"/>
      <c r="H353" s="21" t="n"/>
      <c r="I353" s="21" t="n"/>
      <c r="J353" s="21" t="n"/>
      <c r="K353" s="22" t="n"/>
      <c r="L353" s="22" t="n"/>
      <c r="M353" s="22" t="n"/>
      <c r="N353" s="10" t="n"/>
      <c r="O353" s="10" t="n"/>
      <c r="P353" s="10" t="n"/>
      <c r="Q353" s="10" t="n"/>
      <c r="R353" s="11" t="n"/>
      <c r="S353" s="11" t="n"/>
    </row>
    <row r="354" ht="49.5" customFormat="1" customHeight="1" s="6">
      <c r="A354" s="21" t="n"/>
      <c r="B354" s="35" t="n"/>
      <c r="C354" s="36" t="n"/>
      <c r="D354" s="21" t="n"/>
      <c r="E354" s="20" t="n"/>
      <c r="F354" s="20" t="n"/>
      <c r="G354" s="21" t="n"/>
      <c r="H354" s="21" t="n"/>
      <c r="I354" s="21" t="n"/>
      <c r="J354" s="21" t="n"/>
      <c r="K354" s="22" t="n"/>
      <c r="L354" s="22" t="n"/>
      <c r="M354" s="22" t="n"/>
      <c r="N354" s="10" t="n"/>
      <c r="O354" s="10" t="n"/>
      <c r="P354" s="10" t="n"/>
      <c r="Q354" s="10" t="n"/>
      <c r="R354" s="11" t="n"/>
      <c r="S354" s="11" t="n"/>
    </row>
    <row r="355" ht="49.5" customFormat="1" customHeight="1" s="6">
      <c r="A355" s="21" t="n"/>
      <c r="B355" s="35" t="n"/>
      <c r="C355" s="36" t="n"/>
      <c r="D355" s="21" t="n"/>
      <c r="E355" s="20" t="n"/>
      <c r="F355" s="20" t="n"/>
      <c r="G355" s="21" t="n"/>
      <c r="H355" s="21" t="n"/>
      <c r="I355" s="21" t="n"/>
      <c r="J355" s="21" t="n"/>
      <c r="K355" s="22" t="n"/>
      <c r="L355" s="22" t="n"/>
      <c r="M355" s="22" t="n"/>
      <c r="N355" s="10" t="n"/>
      <c r="O355" s="10" t="n"/>
      <c r="P355" s="10" t="n"/>
      <c r="Q355" s="10" t="n"/>
      <c r="R355" s="11" t="n"/>
      <c r="S355" s="11" t="n"/>
    </row>
    <row r="356" ht="49.5" customFormat="1" customHeight="1" s="6">
      <c r="A356" s="21" t="n"/>
      <c r="B356" s="35" t="n"/>
      <c r="C356" s="36" t="n"/>
      <c r="D356" s="21" t="n"/>
      <c r="E356" s="20" t="n"/>
      <c r="F356" s="20" t="n"/>
      <c r="G356" s="21" t="n"/>
      <c r="H356" s="21" t="n"/>
      <c r="I356" s="21" t="n"/>
      <c r="J356" s="21" t="n"/>
      <c r="K356" s="22" t="n"/>
      <c r="L356" s="22" t="n"/>
      <c r="M356" s="22" t="n"/>
      <c r="N356" s="10" t="n"/>
      <c r="O356" s="10" t="n"/>
      <c r="P356" s="10" t="n"/>
      <c r="Q356" s="10" t="n"/>
      <c r="R356" s="11" t="n"/>
      <c r="S356" s="11" t="n"/>
    </row>
    <row r="357" ht="49.5" customFormat="1" customHeight="1" s="6">
      <c r="A357" s="21" t="n"/>
      <c r="B357" s="35" t="n"/>
      <c r="C357" s="36" t="n"/>
      <c r="D357" s="21" t="n"/>
      <c r="E357" s="20" t="n"/>
      <c r="F357" s="20" t="n"/>
      <c r="G357" s="21" t="n"/>
      <c r="H357" s="21" t="n"/>
      <c r="I357" s="21" t="n"/>
      <c r="J357" s="21" t="n"/>
      <c r="K357" s="22" t="n"/>
      <c r="L357" s="22" t="n"/>
      <c r="M357" s="22" t="n"/>
      <c r="N357" s="10" t="n"/>
      <c r="O357" s="10" t="n"/>
      <c r="P357" s="10" t="n"/>
      <c r="Q357" s="10" t="n"/>
      <c r="R357" s="11" t="n"/>
      <c r="S357" s="11" t="n"/>
    </row>
    <row r="358" ht="49.5" customFormat="1" customHeight="1" s="6">
      <c r="A358" s="21" t="n"/>
      <c r="B358" s="35" t="n"/>
      <c r="C358" s="36" t="n"/>
      <c r="D358" s="21" t="n"/>
      <c r="E358" s="20" t="n"/>
      <c r="F358" s="20" t="n"/>
      <c r="G358" s="21" t="n"/>
      <c r="H358" s="21" t="n"/>
      <c r="I358" s="21" t="n"/>
      <c r="J358" s="21" t="n"/>
      <c r="K358" s="22" t="n"/>
      <c r="L358" s="22" t="n"/>
      <c r="M358" s="22" t="n"/>
      <c r="N358" s="10" t="n"/>
      <c r="O358" s="10" t="n"/>
      <c r="P358" s="10" t="n"/>
      <c r="Q358" s="10" t="n"/>
      <c r="R358" s="11" t="n"/>
      <c r="S358" s="11" t="n"/>
    </row>
    <row r="359" ht="49.5" customFormat="1" customHeight="1" s="6">
      <c r="A359" s="21" t="n"/>
      <c r="B359" s="35" t="n"/>
      <c r="C359" s="36" t="n"/>
      <c r="D359" s="21" t="n"/>
      <c r="E359" s="20" t="n"/>
      <c r="F359" s="20" t="n"/>
      <c r="G359" s="21" t="n"/>
      <c r="H359" s="21" t="n"/>
      <c r="I359" s="21" t="n"/>
      <c r="J359" s="21" t="n"/>
      <c r="K359" s="22" t="n"/>
      <c r="L359" s="22" t="n"/>
      <c r="M359" s="22" t="n"/>
      <c r="N359" s="10" t="n"/>
      <c r="O359" s="10" t="n"/>
      <c r="P359" s="10" t="n"/>
      <c r="Q359" s="10" t="n"/>
      <c r="R359" s="11" t="n"/>
      <c r="S359" s="11" t="n"/>
    </row>
    <row r="360" ht="49.5" customFormat="1" customHeight="1" s="6">
      <c r="A360" s="21" t="n"/>
      <c r="B360" s="35" t="n"/>
      <c r="C360" s="36" t="n"/>
      <c r="D360" s="21" t="n"/>
      <c r="E360" s="20" t="n"/>
      <c r="F360" s="20" t="n"/>
      <c r="G360" s="21" t="n"/>
      <c r="H360" s="21" t="n"/>
      <c r="I360" s="21" t="n"/>
      <c r="J360" s="21" t="n"/>
      <c r="K360" s="22" t="n"/>
      <c r="L360" s="22" t="n"/>
      <c r="M360" s="22" t="n"/>
      <c r="N360" s="10" t="n"/>
      <c r="O360" s="10" t="n"/>
      <c r="P360" s="10" t="n"/>
      <c r="Q360" s="10" t="n"/>
      <c r="R360" s="11" t="n"/>
      <c r="S360" s="11" t="n"/>
    </row>
    <row r="361" ht="49.5" customFormat="1" customHeight="1" s="6">
      <c r="A361" s="21" t="n"/>
      <c r="B361" s="35" t="n"/>
      <c r="C361" s="36" t="n"/>
      <c r="D361" s="21" t="n"/>
      <c r="E361" s="20" t="n"/>
      <c r="F361" s="20" t="n"/>
      <c r="G361" s="21" t="n"/>
      <c r="H361" s="21" t="n"/>
      <c r="I361" s="21" t="n"/>
      <c r="J361" s="21" t="n"/>
      <c r="K361" s="22" t="n"/>
      <c r="L361" s="22" t="n"/>
      <c r="M361" s="22" t="n"/>
      <c r="N361" s="10" t="n"/>
      <c r="O361" s="10" t="n"/>
      <c r="P361" s="10" t="n"/>
      <c r="Q361" s="10" t="n"/>
      <c r="R361" s="11" t="n"/>
      <c r="S361" s="11" t="n"/>
    </row>
    <row r="362" ht="49.5" customFormat="1" customHeight="1" s="6">
      <c r="A362" s="21" t="n"/>
      <c r="B362" s="35" t="n"/>
      <c r="C362" s="36" t="n"/>
      <c r="D362" s="21" t="n"/>
      <c r="E362" s="20" t="n"/>
      <c r="F362" s="20" t="n"/>
      <c r="G362" s="21" t="n"/>
      <c r="H362" s="21" t="n"/>
      <c r="I362" s="21" t="n"/>
      <c r="J362" s="21" t="n"/>
      <c r="K362" s="22" t="n"/>
      <c r="L362" s="22" t="n"/>
      <c r="M362" s="22" t="n"/>
      <c r="N362" s="10" t="n"/>
      <c r="O362" s="10" t="n"/>
      <c r="P362" s="10" t="n"/>
      <c r="Q362" s="10" t="n"/>
      <c r="R362" s="11" t="n"/>
      <c r="S362" s="11" t="n"/>
    </row>
    <row r="363" ht="49.5" customFormat="1" customHeight="1" s="6">
      <c r="A363" s="21" t="n"/>
      <c r="B363" s="35" t="n"/>
      <c r="C363" s="36" t="n"/>
      <c r="D363" s="21" t="n"/>
      <c r="E363" s="20" t="n"/>
      <c r="F363" s="20" t="n"/>
      <c r="G363" s="21" t="n"/>
      <c r="H363" s="21" t="n"/>
      <c r="I363" s="21" t="n"/>
      <c r="J363" s="21" t="n"/>
      <c r="K363" s="22" t="n"/>
      <c r="L363" s="22" t="n"/>
      <c r="M363" s="22" t="n"/>
      <c r="N363" s="10" t="n"/>
      <c r="O363" s="10" t="n"/>
      <c r="P363" s="10" t="n"/>
      <c r="Q363" s="10" t="n"/>
      <c r="R363" s="11" t="n"/>
      <c r="S363" s="11" t="n"/>
    </row>
    <row r="364" ht="49.5" customFormat="1" customHeight="1" s="6">
      <c r="A364" s="21" t="n"/>
      <c r="B364" s="35" t="n"/>
      <c r="C364" s="36" t="n"/>
      <c r="D364" s="21" t="n"/>
      <c r="E364" s="20" t="n"/>
      <c r="F364" s="20" t="n"/>
      <c r="G364" s="21" t="n"/>
      <c r="H364" s="21" t="n"/>
      <c r="I364" s="21" t="n"/>
      <c r="J364" s="21" t="n"/>
      <c r="K364" s="22" t="n"/>
      <c r="L364" s="22" t="n"/>
      <c r="M364" s="22" t="n"/>
      <c r="N364" s="10" t="n"/>
      <c r="O364" s="10" t="n"/>
      <c r="P364" s="10" t="n"/>
      <c r="Q364" s="10" t="n"/>
      <c r="R364" s="11" t="n"/>
      <c r="S364" s="11" t="n"/>
    </row>
    <row r="365" ht="49.5" customFormat="1" customHeight="1" s="6">
      <c r="A365" s="21" t="n"/>
      <c r="B365" s="35" t="n"/>
      <c r="C365" s="36" t="n"/>
      <c r="D365" s="21" t="n"/>
      <c r="E365" s="20" t="n"/>
      <c r="F365" s="20" t="n"/>
      <c r="G365" s="21" t="n"/>
      <c r="H365" s="21" t="n"/>
      <c r="I365" s="21" t="n"/>
      <c r="J365" s="21" t="n"/>
      <c r="K365" s="22" t="n"/>
      <c r="L365" s="22" t="n"/>
      <c r="M365" s="22" t="n"/>
      <c r="N365" s="10" t="n"/>
      <c r="O365" s="10" t="n"/>
      <c r="P365" s="10" t="n"/>
      <c r="Q365" s="10" t="n"/>
      <c r="R365" s="11" t="n"/>
      <c r="S365" s="11" t="n"/>
    </row>
    <row r="366" ht="49.5" customFormat="1" customHeight="1" s="6">
      <c r="A366" s="21" t="n"/>
      <c r="B366" s="35" t="n"/>
      <c r="C366" s="36" t="n"/>
      <c r="D366" s="21" t="n"/>
      <c r="E366" s="20" t="n"/>
      <c r="F366" s="20" t="n"/>
      <c r="G366" s="21" t="n"/>
      <c r="H366" s="21" t="n"/>
      <c r="I366" s="21" t="n"/>
      <c r="J366" s="21" t="n"/>
      <c r="K366" s="22" t="n"/>
      <c r="L366" s="22" t="n"/>
      <c r="M366" s="22" t="n"/>
      <c r="N366" s="10" t="n"/>
      <c r="O366" s="10" t="n"/>
      <c r="P366" s="10" t="n"/>
      <c r="Q366" s="10" t="n"/>
      <c r="R366" s="11" t="n"/>
      <c r="S366" s="11" t="n"/>
    </row>
    <row r="367" ht="49.5" customFormat="1" customHeight="1" s="6">
      <c r="A367" s="21" t="n"/>
      <c r="B367" s="35" t="n"/>
      <c r="C367" s="36" t="n"/>
      <c r="D367" s="21" t="n"/>
      <c r="E367" s="20" t="n"/>
      <c r="F367" s="20" t="n"/>
      <c r="G367" s="21" t="n"/>
      <c r="H367" s="21" t="n"/>
      <c r="I367" s="21" t="n"/>
      <c r="J367" s="21" t="n"/>
      <c r="K367" s="22" t="n"/>
      <c r="L367" s="22" t="n"/>
      <c r="M367" s="22" t="n"/>
      <c r="N367" s="10" t="n"/>
      <c r="O367" s="10" t="n"/>
      <c r="P367" s="10" t="n"/>
      <c r="Q367" s="10" t="n"/>
      <c r="R367" s="11" t="n"/>
      <c r="S367" s="11" t="n"/>
    </row>
    <row r="368" ht="49.5" customFormat="1" customHeight="1" s="6">
      <c r="A368" s="21" t="n"/>
      <c r="B368" s="35" t="n"/>
      <c r="C368" s="36" t="n"/>
      <c r="D368" s="21" t="n"/>
      <c r="E368" s="20" t="n"/>
      <c r="F368" s="20" t="n"/>
      <c r="G368" s="21" t="n"/>
      <c r="H368" s="21" t="n"/>
      <c r="I368" s="21" t="n"/>
      <c r="J368" s="21" t="n"/>
      <c r="K368" s="22" t="n"/>
      <c r="L368" s="22" t="n"/>
      <c r="M368" s="22" t="n"/>
      <c r="N368" s="10" t="n"/>
      <c r="O368" s="10" t="n"/>
      <c r="P368" s="10" t="n"/>
      <c r="Q368" s="10" t="n"/>
      <c r="R368" s="11" t="n"/>
      <c r="S368" s="11" t="n"/>
    </row>
    <row r="369" ht="49.5" customFormat="1" customHeight="1" s="6">
      <c r="A369" s="21" t="n"/>
      <c r="B369" s="35" t="n"/>
      <c r="C369" s="36" t="n"/>
      <c r="D369" s="21" t="n"/>
      <c r="E369" s="20" t="n"/>
      <c r="F369" s="20" t="n"/>
      <c r="G369" s="21" t="n"/>
      <c r="H369" s="21" t="n"/>
      <c r="I369" s="21" t="n"/>
      <c r="J369" s="21" t="n"/>
      <c r="K369" s="22" t="n"/>
      <c r="L369" s="22" t="n"/>
      <c r="M369" s="22" t="n"/>
      <c r="N369" s="10" t="n"/>
      <c r="O369" s="10" t="n"/>
      <c r="P369" s="10" t="n"/>
      <c r="Q369" s="10" t="n"/>
      <c r="R369" s="11" t="n"/>
      <c r="S369" s="11" t="n"/>
    </row>
    <row r="370" ht="49.5" customFormat="1" customHeight="1" s="6">
      <c r="A370" s="21" t="n"/>
      <c r="B370" s="35" t="n"/>
      <c r="C370" s="36" t="n"/>
      <c r="D370" s="21" t="n"/>
      <c r="E370" s="20" t="n"/>
      <c r="F370" s="20" t="n"/>
      <c r="G370" s="21" t="n"/>
      <c r="H370" s="21" t="n"/>
      <c r="I370" s="21" t="n"/>
      <c r="J370" s="21" t="n"/>
      <c r="K370" s="22" t="n"/>
      <c r="L370" s="22" t="n"/>
      <c r="M370" s="22" t="n"/>
      <c r="N370" s="10" t="n"/>
      <c r="O370" s="10" t="n"/>
      <c r="P370" s="10" t="n"/>
      <c r="Q370" s="10" t="n"/>
      <c r="R370" s="11" t="n"/>
      <c r="S370" s="11" t="n"/>
    </row>
    <row r="371" ht="49.5" customFormat="1" customHeight="1" s="6">
      <c r="A371" s="21" t="n"/>
      <c r="B371" s="35" t="n"/>
      <c r="C371" s="36" t="n"/>
      <c r="D371" s="21" t="n"/>
      <c r="E371" s="20" t="n"/>
      <c r="F371" s="20" t="n"/>
      <c r="G371" s="21" t="n"/>
      <c r="H371" s="21" t="n"/>
      <c r="I371" s="21" t="n"/>
      <c r="J371" s="21" t="n"/>
      <c r="K371" s="22" t="n"/>
      <c r="L371" s="22" t="n"/>
      <c r="M371" s="22" t="n"/>
      <c r="N371" s="10" t="n"/>
      <c r="O371" s="10" t="n"/>
      <c r="P371" s="10" t="n"/>
      <c r="Q371" s="10" t="n"/>
      <c r="R371" s="11" t="n"/>
      <c r="S371" s="11" t="n"/>
    </row>
    <row r="372" ht="50.1" customFormat="1" customHeight="1" s="6">
      <c r="A372" s="24" t="n"/>
      <c r="B372" s="33" t="n"/>
      <c r="C372" s="23" t="n"/>
      <c r="D372" s="24" t="n"/>
      <c r="E372" s="44" t="n"/>
      <c r="F372" s="44" t="n"/>
      <c r="G372" s="24" t="n"/>
      <c r="H372" s="24" t="n"/>
      <c r="I372" s="24" t="n"/>
      <c r="J372" s="24" t="n"/>
      <c r="K372" s="45" t="n"/>
      <c r="L372" s="45" t="n"/>
      <c r="M372" s="45" t="n"/>
      <c r="N372" s="10" t="n"/>
      <c r="O372" s="10" t="n"/>
      <c r="P372" s="10" t="n"/>
      <c r="Q372" s="10" t="n"/>
      <c r="R372" s="11" t="n"/>
      <c r="S372" s="11" t="n"/>
    </row>
    <row r="373" ht="50.1" customFormat="1" customHeight="1" s="6">
      <c r="A373" s="24" t="n"/>
      <c r="B373" s="33" t="n"/>
      <c r="C373" s="23" t="n"/>
      <c r="D373" s="24" t="n"/>
      <c r="E373" s="44" t="n"/>
      <c r="F373" s="44" t="n"/>
      <c r="G373" s="24" t="n"/>
      <c r="H373" s="24" t="n"/>
      <c r="I373" s="24" t="n"/>
      <c r="J373" s="24" t="n"/>
      <c r="K373" s="45" t="n"/>
      <c r="L373" s="45" t="n"/>
      <c r="M373" s="45" t="n"/>
      <c r="N373" s="10" t="n"/>
      <c r="O373" s="10" t="n"/>
      <c r="P373" s="10" t="n"/>
      <c r="Q373" s="10" t="n"/>
      <c r="R373" s="11" t="n"/>
      <c r="S373" s="11" t="n"/>
    </row>
    <row r="374" ht="50.1" customFormat="1" customHeight="1" s="6">
      <c r="A374" s="24" t="n"/>
      <c r="B374" s="33" t="n"/>
      <c r="C374" s="23" t="n"/>
      <c r="D374" s="24" t="n"/>
      <c r="E374" s="44" t="n"/>
      <c r="F374" s="44" t="n"/>
      <c r="G374" s="24" t="n"/>
      <c r="H374" s="24" t="n"/>
      <c r="I374" s="24" t="n"/>
      <c r="J374" s="24" t="n"/>
      <c r="K374" s="45" t="n"/>
      <c r="L374" s="45" t="n"/>
      <c r="M374" s="45" t="n"/>
      <c r="N374" s="10" t="n"/>
      <c r="O374" s="10" t="n"/>
      <c r="P374" s="10" t="n"/>
      <c r="Q374" s="10" t="n"/>
      <c r="R374" s="11" t="n"/>
      <c r="S374" s="11" t="n"/>
    </row>
    <row r="375" ht="50.1" customFormat="1" customHeight="1" s="6">
      <c r="A375" s="24" t="n"/>
      <c r="B375" s="33" t="n"/>
      <c r="C375" s="23" t="n"/>
      <c r="D375" s="24" t="n"/>
      <c r="E375" s="44" t="n"/>
      <c r="F375" s="44" t="n"/>
      <c r="G375" s="24" t="n"/>
      <c r="H375" s="24" t="n"/>
      <c r="I375" s="24" t="n"/>
      <c r="J375" s="24" t="n"/>
      <c r="K375" s="45" t="n"/>
      <c r="L375" s="45" t="n"/>
      <c r="M375" s="45" t="n"/>
      <c r="N375" s="10" t="n"/>
      <c r="O375" s="10" t="n"/>
      <c r="P375" s="10" t="n"/>
      <c r="Q375" s="10" t="n"/>
      <c r="R375" s="11" t="n"/>
      <c r="S375" s="11" t="n"/>
    </row>
    <row r="376" ht="50.1" customFormat="1" customHeight="1" s="6">
      <c r="A376" s="24" t="n"/>
      <c r="B376" s="33" t="n"/>
      <c r="C376" s="23" t="n"/>
      <c r="D376" s="24" t="n"/>
      <c r="E376" s="44" t="n"/>
      <c r="F376" s="44" t="n"/>
      <c r="G376" s="24" t="n"/>
      <c r="H376" s="24" t="n"/>
      <c r="I376" s="24" t="n"/>
      <c r="J376" s="24" t="n"/>
      <c r="K376" s="45" t="n"/>
      <c r="L376" s="45" t="n"/>
      <c r="M376" s="45" t="n"/>
      <c r="N376" s="10" t="n"/>
      <c r="O376" s="10" t="n"/>
      <c r="P376" s="10" t="n"/>
      <c r="Q376" s="10" t="n"/>
      <c r="R376" s="11" t="n"/>
      <c r="S376" s="11" t="n"/>
    </row>
    <row r="377" ht="50.1" customFormat="1" customHeight="1" s="6">
      <c r="A377" s="24" t="n"/>
      <c r="B377" s="33" t="n"/>
      <c r="C377" s="23" t="n"/>
      <c r="D377" s="24" t="n"/>
      <c r="E377" s="44" t="n"/>
      <c r="F377" s="44" t="n"/>
      <c r="G377" s="24" t="n"/>
      <c r="H377" s="24" t="n"/>
      <c r="I377" s="24" t="n"/>
      <c r="J377" s="24" t="n"/>
      <c r="K377" s="45" t="n"/>
      <c r="L377" s="45" t="n"/>
      <c r="M377" s="45" t="n"/>
      <c r="N377" s="10" t="n"/>
      <c r="O377" s="10" t="n"/>
      <c r="P377" s="10" t="n"/>
      <c r="Q377" s="10" t="n"/>
      <c r="R377" s="11" t="n"/>
      <c r="S377" s="11" t="n"/>
    </row>
    <row r="378" ht="50.1" customFormat="1" customHeight="1" s="6">
      <c r="A378" s="24" t="n"/>
      <c r="B378" s="33" t="n"/>
      <c r="C378" s="23" t="n"/>
      <c r="D378" s="24" t="n"/>
      <c r="E378" s="44" t="n"/>
      <c r="F378" s="44" t="n"/>
      <c r="G378" s="24" t="n"/>
      <c r="H378" s="24" t="n"/>
      <c r="I378" s="24" t="n"/>
      <c r="J378" s="24" t="n"/>
      <c r="K378" s="45" t="n"/>
      <c r="L378" s="45" t="n"/>
      <c r="M378" s="45" t="n"/>
      <c r="N378" s="10" t="n"/>
      <c r="O378" s="10" t="n"/>
      <c r="P378" s="10" t="n"/>
      <c r="Q378" s="10" t="n"/>
      <c r="R378" s="11" t="n"/>
      <c r="S378" s="11" t="n"/>
    </row>
    <row r="379" ht="50.1" customFormat="1" customHeight="1" s="6">
      <c r="A379" s="24" t="n"/>
      <c r="B379" s="33" t="n"/>
      <c r="C379" s="23" t="n"/>
      <c r="D379" s="24" t="n"/>
      <c r="E379" s="44" t="n"/>
      <c r="F379" s="44" t="n"/>
      <c r="G379" s="24" t="n"/>
      <c r="H379" s="24" t="n"/>
      <c r="I379" s="24" t="n"/>
      <c r="J379" s="24" t="n"/>
      <c r="K379" s="45" t="n"/>
      <c r="L379" s="45" t="n"/>
      <c r="M379" s="45" t="n"/>
      <c r="N379" s="10" t="n"/>
      <c r="O379" s="10" t="n"/>
      <c r="P379" s="10" t="n"/>
      <c r="Q379" s="10" t="n"/>
      <c r="R379" s="11" t="n"/>
      <c r="S379" s="11" t="n"/>
    </row>
    <row r="380" ht="50.1" customFormat="1" customHeight="1" s="6">
      <c r="A380" s="24" t="n"/>
      <c r="B380" s="33" t="n"/>
      <c r="C380" s="23" t="n"/>
      <c r="D380" s="24" t="n"/>
      <c r="E380" s="44" t="n"/>
      <c r="F380" s="44" t="n"/>
      <c r="G380" s="24" t="n"/>
      <c r="H380" s="24" t="n"/>
      <c r="I380" s="24" t="n"/>
      <c r="J380" s="24" t="n"/>
      <c r="K380" s="45" t="n"/>
      <c r="L380" s="45" t="n"/>
      <c r="M380" s="45" t="n"/>
      <c r="N380" s="10" t="n"/>
      <c r="O380" s="10" t="n"/>
      <c r="P380" s="10" t="n"/>
      <c r="Q380" s="10" t="n"/>
      <c r="R380" s="11" t="n"/>
      <c r="S380" s="11" t="n"/>
    </row>
    <row r="381" ht="50.1" customFormat="1" customHeight="1" s="6">
      <c r="A381" s="24" t="n"/>
      <c r="B381" s="33" t="n"/>
      <c r="C381" s="23" t="n"/>
      <c r="D381" s="24" t="n"/>
      <c r="E381" s="44" t="n"/>
      <c r="F381" s="44" t="n"/>
      <c r="G381" s="24" t="n"/>
      <c r="H381" s="24" t="n"/>
      <c r="I381" s="24" t="n"/>
      <c r="J381" s="24" t="n"/>
      <c r="K381" s="45" t="n"/>
      <c r="L381" s="45" t="n"/>
      <c r="M381" s="45" t="n"/>
      <c r="N381" s="10" t="n"/>
      <c r="O381" s="10" t="n"/>
      <c r="P381" s="10" t="n"/>
      <c r="Q381" s="10" t="n"/>
      <c r="R381" s="11" t="n"/>
      <c r="S381" s="11" t="n"/>
    </row>
    <row r="382" ht="50.1" customFormat="1" customHeight="1" s="6">
      <c r="A382" s="24" t="n"/>
      <c r="B382" s="33" t="n"/>
      <c r="C382" s="23" t="n"/>
      <c r="D382" s="24" t="n"/>
      <c r="E382" s="44" t="n"/>
      <c r="F382" s="44" t="n"/>
      <c r="G382" s="24" t="n"/>
      <c r="H382" s="24" t="n"/>
      <c r="I382" s="24" t="n"/>
      <c r="J382" s="24" t="n"/>
      <c r="K382" s="45" t="n"/>
      <c r="L382" s="45" t="n"/>
      <c r="M382" s="45" t="n"/>
      <c r="N382" s="10" t="n"/>
      <c r="O382" s="10" t="n"/>
      <c r="P382" s="10" t="n"/>
      <c r="Q382" s="10" t="n"/>
      <c r="R382" s="11" t="n"/>
      <c r="S382" s="11" t="n"/>
    </row>
    <row r="383" ht="50.1" customFormat="1" customHeight="1" s="6">
      <c r="A383" s="24" t="n"/>
      <c r="B383" s="33" t="n"/>
      <c r="C383" s="23" t="n"/>
      <c r="D383" s="49" t="n"/>
      <c r="E383" s="44" t="n"/>
      <c r="F383" s="44" t="n"/>
      <c r="G383" s="24" t="n"/>
      <c r="H383" s="24" t="n"/>
      <c r="I383" s="24" t="n"/>
      <c r="J383" s="24" t="n"/>
      <c r="K383" s="45" t="n"/>
      <c r="L383" s="45" t="n"/>
      <c r="M383" s="45" t="n"/>
      <c r="N383" s="10" t="n"/>
      <c r="O383" s="10" t="n"/>
      <c r="P383" s="10" t="n"/>
      <c r="Q383" s="10" t="n"/>
      <c r="R383" s="11" t="n"/>
      <c r="S383" s="11" t="n"/>
    </row>
    <row r="384" ht="50.1" customFormat="1" customHeight="1" s="6">
      <c r="A384" s="24" t="n"/>
      <c r="B384" s="33" t="n"/>
      <c r="C384" s="23" t="n"/>
      <c r="D384" s="24" t="n"/>
      <c r="E384" s="44" t="n"/>
      <c r="F384" s="44" t="n"/>
      <c r="G384" s="24" t="n"/>
      <c r="H384" s="24" t="n"/>
      <c r="I384" s="24" t="n"/>
      <c r="J384" s="24" t="n"/>
      <c r="K384" s="45" t="n"/>
      <c r="L384" s="45" t="n"/>
      <c r="M384" s="45" t="n"/>
      <c r="N384" s="10" t="n"/>
      <c r="O384" s="10" t="n"/>
      <c r="P384" s="10" t="n"/>
      <c r="Q384" s="10" t="n"/>
      <c r="R384" s="11" t="n"/>
      <c r="S384" s="11" t="n"/>
    </row>
    <row r="385" ht="50.1" customFormat="1" customHeight="1" s="6">
      <c r="A385" s="24" t="n"/>
      <c r="B385" s="33" t="n"/>
      <c r="C385" s="23" t="n"/>
      <c r="D385" s="49" t="n"/>
      <c r="E385" s="44" t="n"/>
      <c r="F385" s="44" t="n"/>
      <c r="G385" s="24" t="n"/>
      <c r="H385" s="24" t="n"/>
      <c r="I385" s="24" t="n"/>
      <c r="J385" s="24" t="n"/>
      <c r="K385" s="45" t="n"/>
      <c r="L385" s="45" t="n"/>
      <c r="M385" s="45" t="n"/>
      <c r="N385" s="10" t="n"/>
      <c r="O385" s="10" t="n"/>
      <c r="P385" s="10" t="n"/>
      <c r="Q385" s="10" t="n"/>
      <c r="R385" s="11" t="n"/>
      <c r="S385" s="11" t="n"/>
    </row>
    <row r="386" ht="50.1" customFormat="1" customHeight="1" s="6">
      <c r="A386" s="24" t="n"/>
      <c r="B386" s="33" t="n"/>
      <c r="C386" s="23" t="n"/>
      <c r="D386" s="24" t="n"/>
      <c r="E386" s="44" t="n"/>
      <c r="F386" s="44" t="n"/>
      <c r="G386" s="24" t="n"/>
      <c r="H386" s="24" t="n"/>
      <c r="I386" s="24" t="n"/>
      <c r="J386" s="24" t="n"/>
      <c r="K386" s="45" t="n"/>
      <c r="L386" s="45" t="n"/>
      <c r="M386" s="45" t="n"/>
      <c r="N386" s="10" t="n"/>
      <c r="O386" s="10" t="n"/>
      <c r="P386" s="10" t="n"/>
      <c r="Q386" s="10" t="n"/>
      <c r="R386" s="11" t="n"/>
      <c r="S386" s="11" t="n"/>
    </row>
    <row r="387" ht="50.1" customFormat="1" customHeight="1" s="6">
      <c r="A387" s="24" t="n"/>
      <c r="B387" s="33" t="n"/>
      <c r="C387" s="23" t="n"/>
      <c r="D387" s="24" t="n"/>
      <c r="E387" s="44" t="n"/>
      <c r="F387" s="44" t="n"/>
      <c r="G387" s="24" t="n"/>
      <c r="H387" s="24" t="n"/>
      <c r="I387" s="24" t="n"/>
      <c r="J387" s="24" t="n"/>
      <c r="K387" s="45" t="n"/>
      <c r="L387" s="45" t="n"/>
      <c r="M387" s="45" t="n"/>
      <c r="N387" s="10" t="n"/>
      <c r="O387" s="10" t="n"/>
      <c r="P387" s="10" t="n"/>
      <c r="Q387" s="10" t="n"/>
      <c r="R387" s="11" t="n"/>
      <c r="S387" s="11" t="n"/>
    </row>
    <row r="388" ht="50.1" customFormat="1" customHeight="1" s="6">
      <c r="A388" s="24" t="n"/>
      <c r="B388" s="33" t="n"/>
      <c r="C388" s="23" t="n"/>
      <c r="D388" s="24" t="n"/>
      <c r="E388" s="44" t="n"/>
      <c r="F388" s="44" t="n"/>
      <c r="G388" s="24" t="n"/>
      <c r="H388" s="24" t="n"/>
      <c r="I388" s="24" t="n"/>
      <c r="J388" s="24" t="n"/>
      <c r="K388" s="45" t="n"/>
      <c r="L388" s="45" t="n"/>
      <c r="M388" s="45" t="n"/>
      <c r="N388" s="10" t="n"/>
      <c r="O388" s="10" t="n"/>
      <c r="P388" s="10" t="n"/>
      <c r="Q388" s="10" t="n"/>
      <c r="R388" s="11" t="n"/>
      <c r="S388" s="11" t="n"/>
    </row>
    <row r="389" ht="50.1" customFormat="1" customHeight="1" s="6">
      <c r="A389" s="24" t="n"/>
      <c r="B389" s="33" t="n"/>
      <c r="C389" s="23" t="n"/>
      <c r="D389" s="24" t="n"/>
      <c r="E389" s="44" t="n"/>
      <c r="F389" s="44" t="n"/>
      <c r="G389" s="24" t="n"/>
      <c r="H389" s="24" t="n"/>
      <c r="I389" s="24" t="n"/>
      <c r="J389" s="24" t="n"/>
      <c r="K389" s="45" t="n"/>
      <c r="L389" s="45" t="n"/>
      <c r="M389" s="45" t="n"/>
      <c r="N389" s="10" t="n"/>
      <c r="O389" s="10" t="n"/>
      <c r="P389" s="10" t="n"/>
      <c r="Q389" s="10" t="n"/>
      <c r="R389" s="11" t="n"/>
      <c r="S389" s="11" t="n"/>
    </row>
    <row r="390" ht="50.1" customFormat="1" customHeight="1" s="6">
      <c r="A390" s="24" t="n"/>
      <c r="B390" s="33" t="n"/>
      <c r="C390" s="23" t="n"/>
      <c r="D390" s="24" t="n"/>
      <c r="E390" s="44" t="n"/>
      <c r="F390" s="44" t="n"/>
      <c r="G390" s="24" t="n"/>
      <c r="H390" s="24" t="n"/>
      <c r="I390" s="24" t="n"/>
      <c r="J390" s="24" t="n"/>
      <c r="K390" s="45" t="n"/>
      <c r="L390" s="45" t="n"/>
      <c r="M390" s="45" t="n"/>
      <c r="N390" s="10" t="n"/>
      <c r="O390" s="10" t="n"/>
      <c r="P390" s="10" t="n"/>
      <c r="Q390" s="10" t="n"/>
      <c r="R390" s="11" t="n"/>
      <c r="S390" s="11" t="n"/>
    </row>
    <row r="391" ht="50.1" customFormat="1" customHeight="1" s="6">
      <c r="A391" s="24" t="n"/>
      <c r="B391" s="33" t="n"/>
      <c r="C391" s="23" t="n"/>
      <c r="D391" s="24" t="n"/>
      <c r="E391" s="44" t="n"/>
      <c r="F391" s="44" t="n"/>
      <c r="G391" s="24" t="n"/>
      <c r="H391" s="24" t="n"/>
      <c r="I391" s="24" t="n"/>
      <c r="J391" s="24" t="n"/>
      <c r="K391" s="45" t="n"/>
      <c r="L391" s="45" t="n"/>
      <c r="M391" s="45" t="n"/>
      <c r="N391" s="10" t="n"/>
      <c r="O391" s="10" t="n"/>
      <c r="P391" s="10" t="n"/>
      <c r="Q391" s="10" t="n"/>
      <c r="R391" s="11" t="n"/>
      <c r="S391" s="11" t="n"/>
    </row>
    <row r="392" ht="50.1" customFormat="1" customHeight="1" s="6">
      <c r="A392" s="24" t="n"/>
      <c r="B392" s="33" t="n"/>
      <c r="C392" s="23" t="n"/>
      <c r="D392" s="24" t="n"/>
      <c r="E392" s="44" t="n"/>
      <c r="F392" s="44" t="n"/>
      <c r="G392" s="24" t="n"/>
      <c r="H392" s="24" t="n"/>
      <c r="I392" s="24" t="n"/>
      <c r="J392" s="24" t="n"/>
      <c r="K392" s="45" t="n"/>
      <c r="L392" s="45" t="n"/>
      <c r="M392" s="45" t="n"/>
      <c r="N392" s="10" t="n"/>
      <c r="O392" s="10" t="n"/>
      <c r="P392" s="10" t="n"/>
      <c r="Q392" s="10" t="n"/>
      <c r="R392" s="11" t="n"/>
      <c r="S392" s="11" t="n"/>
    </row>
    <row r="393" ht="50.1" customFormat="1" customHeight="1" s="6">
      <c r="A393" s="24" t="n"/>
      <c r="B393" s="33" t="n"/>
      <c r="C393" s="23" t="n"/>
      <c r="D393" s="24" t="n"/>
      <c r="E393" s="44" t="n"/>
      <c r="F393" s="44" t="n"/>
      <c r="G393" s="24" t="n"/>
      <c r="H393" s="24" t="n"/>
      <c r="I393" s="24" t="n"/>
      <c r="J393" s="24" t="n"/>
      <c r="K393" s="45" t="n"/>
      <c r="L393" s="45" t="n"/>
      <c r="M393" s="45" t="n"/>
      <c r="N393" s="10" t="n"/>
      <c r="O393" s="10" t="n"/>
      <c r="P393" s="10" t="n"/>
      <c r="Q393" s="10" t="n"/>
      <c r="R393" s="11" t="n"/>
      <c r="S393" s="11" t="n"/>
    </row>
    <row r="394" ht="50.1" customFormat="1" customHeight="1" s="6">
      <c r="A394" s="24" t="n"/>
      <c r="B394" s="33" t="n"/>
      <c r="C394" s="23" t="n"/>
      <c r="D394" s="24" t="n"/>
      <c r="E394" s="44" t="n"/>
      <c r="F394" s="44" t="n"/>
      <c r="G394" s="24" t="n"/>
      <c r="H394" s="24" t="n"/>
      <c r="I394" s="24" t="n"/>
      <c r="J394" s="24" t="n"/>
      <c r="K394" s="45" t="n"/>
      <c r="L394" s="45" t="n"/>
      <c r="M394" s="45" t="n"/>
      <c r="N394" s="10" t="n"/>
      <c r="O394" s="10" t="n"/>
      <c r="P394" s="10" t="n"/>
      <c r="Q394" s="10" t="n"/>
      <c r="R394" s="11" t="n"/>
      <c r="S394" s="11" t="n"/>
    </row>
    <row r="395" ht="50.1" customFormat="1" customHeight="1" s="6">
      <c r="A395" s="24" t="n"/>
      <c r="B395" s="33" t="n"/>
      <c r="C395" s="23" t="n"/>
      <c r="D395" s="24" t="n"/>
      <c r="E395" s="44" t="n"/>
      <c r="F395" s="44" t="n"/>
      <c r="G395" s="24" t="n"/>
      <c r="H395" s="24" t="n"/>
      <c r="I395" s="24" t="n"/>
      <c r="J395" s="24" t="n"/>
      <c r="K395" s="45" t="n"/>
      <c r="L395" s="45" t="n"/>
      <c r="M395" s="45" t="n"/>
      <c r="N395" s="10" t="n"/>
      <c r="O395" s="10" t="n"/>
      <c r="P395" s="10" t="n"/>
      <c r="Q395" s="10" t="n"/>
      <c r="R395" s="11" t="n"/>
      <c r="S395" s="11" t="n"/>
    </row>
    <row r="396" ht="50.1" customFormat="1" customHeight="1" s="6">
      <c r="A396" s="24" t="n"/>
      <c r="B396" s="33" t="n"/>
      <c r="C396" s="23" t="n"/>
      <c r="D396" s="24" t="n"/>
      <c r="E396" s="44" t="n"/>
      <c r="F396" s="44" t="n"/>
      <c r="G396" s="24" t="n"/>
      <c r="H396" s="24" t="n"/>
      <c r="I396" s="24" t="n"/>
      <c r="J396" s="24" t="n"/>
      <c r="K396" s="45" t="n"/>
      <c r="L396" s="45" t="n"/>
      <c r="M396" s="45" t="n"/>
      <c r="N396" s="10" t="n"/>
      <c r="O396" s="10" t="n"/>
      <c r="P396" s="10" t="n"/>
      <c r="Q396" s="10" t="n"/>
      <c r="R396" s="11" t="n"/>
      <c r="S396" s="11" t="n"/>
    </row>
    <row r="397" ht="50.1" customFormat="1" customHeight="1" s="6">
      <c r="A397" s="24" t="n"/>
      <c r="B397" s="33" t="n"/>
      <c r="C397" s="23" t="n"/>
      <c r="D397" s="24" t="n"/>
      <c r="E397" s="44" t="n"/>
      <c r="F397" s="44" t="n"/>
      <c r="G397" s="24" t="n"/>
      <c r="H397" s="24" t="n"/>
      <c r="I397" s="24" t="n"/>
      <c r="J397" s="24" t="n"/>
      <c r="K397" s="45" t="n"/>
      <c r="L397" s="45" t="n"/>
      <c r="M397" s="45" t="n"/>
      <c r="N397" s="10" t="n"/>
      <c r="O397" s="10" t="n"/>
      <c r="P397" s="10" t="n"/>
      <c r="Q397" s="10" t="n"/>
      <c r="R397" s="11" t="n"/>
      <c r="S397" s="11" t="n"/>
    </row>
    <row r="398" ht="50.1" customFormat="1" customHeight="1" s="6">
      <c r="A398" s="24" t="n"/>
      <c r="B398" s="33" t="n"/>
      <c r="C398" s="23" t="n"/>
      <c r="D398" s="24" t="n"/>
      <c r="E398" s="44" t="n"/>
      <c r="F398" s="44" t="n"/>
      <c r="G398" s="24" t="n"/>
      <c r="H398" s="24" t="n"/>
      <c r="I398" s="24" t="n"/>
      <c r="J398" s="24" t="n"/>
      <c r="K398" s="45" t="n"/>
      <c r="L398" s="45" t="n"/>
      <c r="M398" s="45" t="n"/>
      <c r="N398" s="10" t="n"/>
      <c r="O398" s="10" t="n"/>
      <c r="P398" s="10" t="n"/>
      <c r="Q398" s="10" t="n"/>
      <c r="R398" s="11" t="n"/>
      <c r="S398" s="11" t="n"/>
    </row>
    <row r="399" ht="50.1" customFormat="1" customHeight="1" s="6">
      <c r="A399" s="24" t="n"/>
      <c r="B399" s="33" t="n"/>
      <c r="C399" s="23" t="n"/>
      <c r="D399" s="24" t="n"/>
      <c r="E399" s="44" t="n"/>
      <c r="F399" s="44" t="n"/>
      <c r="G399" s="24" t="n"/>
      <c r="H399" s="24" t="n"/>
      <c r="I399" s="24" t="n"/>
      <c r="J399" s="24" t="n"/>
      <c r="K399" s="45" t="n"/>
      <c r="L399" s="45" t="n"/>
      <c r="M399" s="45" t="n"/>
      <c r="N399" s="10" t="n"/>
      <c r="O399" s="10" t="n"/>
      <c r="P399" s="10" t="n"/>
      <c r="Q399" s="10" t="n"/>
      <c r="R399" s="11" t="n"/>
      <c r="S399" s="11" t="n"/>
    </row>
    <row r="400" ht="50.1" customFormat="1" customHeight="1" s="6">
      <c r="A400" s="24" t="n"/>
      <c r="B400" s="33" t="n"/>
      <c r="C400" s="23" t="n"/>
      <c r="D400" s="24" t="n"/>
      <c r="E400" s="44" t="n"/>
      <c r="F400" s="44" t="n"/>
      <c r="G400" s="24" t="n"/>
      <c r="H400" s="24" t="n"/>
      <c r="I400" s="24" t="n"/>
      <c r="J400" s="24" t="n"/>
      <c r="K400" s="45" t="n"/>
      <c r="L400" s="45" t="n"/>
      <c r="M400" s="45" t="n"/>
      <c r="N400" s="10" t="n"/>
      <c r="O400" s="10" t="n"/>
      <c r="P400" s="10" t="n"/>
      <c r="Q400" s="10" t="n"/>
      <c r="R400" s="11" t="n"/>
      <c r="S400" s="11" t="n"/>
    </row>
    <row r="401" ht="50.1" customFormat="1" customHeight="1" s="6">
      <c r="A401" s="24" t="n"/>
      <c r="B401" s="33" t="n"/>
      <c r="C401" s="23" t="n"/>
      <c r="D401" s="24" t="n"/>
      <c r="E401" s="44" t="n"/>
      <c r="F401" s="44" t="n"/>
      <c r="G401" s="24" t="n"/>
      <c r="H401" s="24" t="n"/>
      <c r="I401" s="24" t="n"/>
      <c r="J401" s="24" t="n"/>
      <c r="K401" s="45" t="n"/>
      <c r="L401" s="45" t="n"/>
      <c r="M401" s="45" t="n"/>
      <c r="N401" s="10" t="n"/>
      <c r="O401" s="10" t="n"/>
      <c r="P401" s="10" t="n"/>
      <c r="Q401" s="10" t="n"/>
      <c r="R401" s="11" t="n"/>
      <c r="S401" s="11" t="n"/>
    </row>
    <row r="402" ht="50.1" customFormat="1" customHeight="1" s="6">
      <c r="A402" s="24" t="n"/>
      <c r="B402" s="33" t="n"/>
      <c r="C402" s="23" t="n"/>
      <c r="D402" s="24" t="n"/>
      <c r="E402" s="44" t="n"/>
      <c r="F402" s="44" t="n"/>
      <c r="G402" s="24" t="n"/>
      <c r="H402" s="24" t="n"/>
      <c r="I402" s="24" t="n"/>
      <c r="J402" s="24" t="n"/>
      <c r="K402" s="45" t="n"/>
      <c r="L402" s="45" t="n"/>
      <c r="M402" s="45" t="n"/>
      <c r="N402" s="10" t="n"/>
      <c r="O402" s="10" t="n"/>
      <c r="P402" s="10" t="n"/>
      <c r="Q402" s="10" t="n"/>
      <c r="R402" s="11" t="n"/>
      <c r="S402" s="11" t="n"/>
    </row>
    <row r="403" ht="50.1" customFormat="1" customHeight="1" s="6">
      <c r="A403" s="24" t="n"/>
      <c r="B403" s="33" t="n"/>
      <c r="C403" s="23" t="n"/>
      <c r="D403" s="24" t="n"/>
      <c r="E403" s="44" t="n"/>
      <c r="F403" s="44" t="n"/>
      <c r="G403" s="24" t="n"/>
      <c r="H403" s="24" t="n"/>
      <c r="I403" s="24" t="n"/>
      <c r="J403" s="24" t="n"/>
      <c r="K403" s="45" t="n"/>
      <c r="L403" s="45" t="n"/>
      <c r="M403" s="45" t="n"/>
      <c r="N403" s="10" t="n"/>
      <c r="O403" s="10" t="n"/>
      <c r="P403" s="10" t="n"/>
      <c r="Q403" s="10" t="n"/>
      <c r="R403" s="11" t="n"/>
      <c r="S403" s="11" t="n"/>
    </row>
    <row r="404" ht="50.1" customFormat="1" customHeight="1" s="6">
      <c r="A404" s="24" t="n"/>
      <c r="B404" s="33" t="n"/>
      <c r="C404" s="23" t="n"/>
      <c r="D404" s="24" t="n"/>
      <c r="E404" s="44" t="n"/>
      <c r="F404" s="44" t="n"/>
      <c r="G404" s="24" t="n"/>
      <c r="H404" s="24" t="n"/>
      <c r="I404" s="24" t="n"/>
      <c r="J404" s="24" t="n"/>
      <c r="K404" s="45" t="n"/>
      <c r="L404" s="45" t="n"/>
      <c r="M404" s="45" t="n"/>
      <c r="N404" s="10" t="n"/>
      <c r="O404" s="10" t="n"/>
      <c r="P404" s="10" t="n"/>
      <c r="Q404" s="10" t="n"/>
      <c r="R404" s="11" t="n"/>
      <c r="S404" s="11" t="n"/>
    </row>
    <row r="405" ht="50.1" customFormat="1" customHeight="1" s="6">
      <c r="A405" s="24" t="n"/>
      <c r="B405" s="33" t="n"/>
      <c r="C405" s="23" t="n"/>
      <c r="D405" s="24" t="n"/>
      <c r="E405" s="44" t="n"/>
      <c r="F405" s="44" t="n"/>
      <c r="G405" s="24" t="n"/>
      <c r="H405" s="24" t="n"/>
      <c r="I405" s="24" t="n"/>
      <c r="J405" s="24" t="n"/>
      <c r="K405" s="45" t="n"/>
      <c r="L405" s="45" t="n"/>
      <c r="M405" s="45" t="n"/>
      <c r="N405" s="10" t="n"/>
      <c r="O405" s="10" t="n"/>
      <c r="P405" s="10" t="n"/>
      <c r="Q405" s="10" t="n"/>
      <c r="R405" s="11" t="n"/>
      <c r="S405" s="11" t="n"/>
    </row>
    <row r="406" ht="50.1" customFormat="1" customHeight="1" s="6">
      <c r="A406" s="24" t="n"/>
      <c r="B406" s="33" t="n"/>
      <c r="C406" s="23" t="n"/>
      <c r="D406" s="24" t="n"/>
      <c r="E406" s="44" t="n"/>
      <c r="F406" s="44" t="n"/>
      <c r="G406" s="24" t="n"/>
      <c r="H406" s="24" t="n"/>
      <c r="I406" s="24" t="n"/>
      <c r="J406" s="24" t="n"/>
      <c r="K406" s="45" t="n"/>
      <c r="L406" s="45" t="n"/>
      <c r="M406" s="45" t="n"/>
      <c r="N406" s="10" t="n"/>
      <c r="O406" s="10" t="n"/>
      <c r="P406" s="10" t="n"/>
      <c r="Q406" s="10" t="n"/>
      <c r="R406" s="11" t="n"/>
      <c r="S406" s="11" t="n"/>
    </row>
    <row r="407" ht="50.1" customFormat="1" customHeight="1" s="6">
      <c r="A407" s="24" t="n"/>
      <c r="B407" s="33" t="n"/>
      <c r="C407" s="23" t="n"/>
      <c r="D407" s="24" t="n"/>
      <c r="E407" s="44" t="n"/>
      <c r="F407" s="44" t="n"/>
      <c r="G407" s="24" t="n"/>
      <c r="H407" s="24" t="n"/>
      <c r="I407" s="24" t="n"/>
      <c r="J407" s="24" t="n"/>
      <c r="K407" s="45" t="n"/>
      <c r="L407" s="45" t="n"/>
      <c r="M407" s="45" t="n"/>
      <c r="N407" s="10" t="n"/>
      <c r="O407" s="10" t="n"/>
      <c r="P407" s="10" t="n"/>
      <c r="Q407" s="10" t="n"/>
      <c r="R407" s="11" t="n"/>
      <c r="S407" s="11" t="n"/>
    </row>
    <row r="408" ht="50.1" customFormat="1" customHeight="1" s="6">
      <c r="A408" s="24" t="n"/>
      <c r="B408" s="33" t="n"/>
      <c r="C408" s="23" t="n"/>
      <c r="D408" s="24" t="n"/>
      <c r="E408" s="44" t="n"/>
      <c r="F408" s="44" t="n"/>
      <c r="G408" s="24" t="n"/>
      <c r="H408" s="24" t="n"/>
      <c r="I408" s="24" t="n"/>
      <c r="J408" s="24" t="n"/>
      <c r="K408" s="45" t="n"/>
      <c r="L408" s="45" t="n"/>
      <c r="M408" s="45" t="n"/>
      <c r="N408" s="10" t="n"/>
      <c r="O408" s="10" t="n"/>
      <c r="P408" s="10" t="n"/>
      <c r="Q408" s="10" t="n"/>
      <c r="R408" s="11" t="n"/>
      <c r="S408" s="11" t="n"/>
    </row>
    <row r="409" ht="50.1" customFormat="1" customHeight="1" s="6">
      <c r="A409" s="24" t="n"/>
      <c r="B409" s="33" t="n"/>
      <c r="C409" s="23" t="n"/>
      <c r="D409" s="24" t="n"/>
      <c r="E409" s="44" t="n"/>
      <c r="F409" s="44" t="n"/>
      <c r="G409" s="24" t="n"/>
      <c r="H409" s="24" t="n"/>
      <c r="I409" s="24" t="n"/>
      <c r="J409" s="24" t="n"/>
      <c r="K409" s="45" t="n"/>
      <c r="L409" s="45" t="n"/>
      <c r="M409" s="45" t="n"/>
      <c r="N409" s="10" t="n"/>
      <c r="O409" s="10" t="n"/>
      <c r="P409" s="10" t="n"/>
      <c r="Q409" s="10" t="n"/>
      <c r="R409" s="11" t="n"/>
      <c r="S409" s="11" t="n"/>
    </row>
    <row r="410" ht="50.1" customFormat="1" customHeight="1" s="6">
      <c r="A410" s="24" t="n"/>
      <c r="B410" s="33" t="n"/>
      <c r="C410" s="23" t="n"/>
      <c r="D410" s="24" t="n"/>
      <c r="E410" s="24" t="n"/>
      <c r="F410" s="44" t="n"/>
      <c r="G410" s="24" t="n"/>
      <c r="H410" s="24" t="n"/>
      <c r="I410" s="24" t="n"/>
      <c r="J410" s="24" t="n"/>
      <c r="K410" s="45" t="n"/>
      <c r="L410" s="45" t="n"/>
      <c r="M410" s="45" t="n"/>
      <c r="N410" s="10" t="n"/>
      <c r="O410" s="10" t="n"/>
      <c r="P410" s="10" t="n"/>
      <c r="Q410" s="10" t="n"/>
      <c r="R410" s="11" t="n"/>
      <c r="S410" s="11" t="n"/>
    </row>
    <row r="411" ht="50.1" customFormat="1" customHeight="1" s="6">
      <c r="A411" s="24" t="n"/>
      <c r="B411" s="33" t="n"/>
      <c r="C411" s="23" t="n"/>
      <c r="D411" s="24" t="n"/>
      <c r="E411" s="24" t="n"/>
      <c r="F411" s="44" t="n"/>
      <c r="G411" s="24" t="n"/>
      <c r="H411" s="24" t="n"/>
      <c r="I411" s="24" t="n"/>
      <c r="J411" s="24" t="n"/>
      <c r="K411" s="45" t="n"/>
      <c r="L411" s="45" t="n"/>
      <c r="M411" s="45" t="n"/>
      <c r="N411" s="10" t="n"/>
      <c r="O411" s="10" t="n"/>
      <c r="P411" s="10" t="n"/>
      <c r="Q411" s="10" t="n"/>
      <c r="R411" s="11" t="n"/>
      <c r="S411" s="11" t="n"/>
    </row>
    <row r="412" ht="50.1" customFormat="1" customHeight="1" s="6">
      <c r="A412" s="24" t="n"/>
      <c r="B412" s="33" t="n"/>
      <c r="C412" s="23" t="n"/>
      <c r="D412" s="24" t="n"/>
      <c r="E412" s="24" t="n"/>
      <c r="F412" s="44" t="n"/>
      <c r="G412" s="24" t="n"/>
      <c r="H412" s="24" t="n"/>
      <c r="I412" s="24" t="n"/>
      <c r="J412" s="24" t="n"/>
      <c r="K412" s="45" t="n"/>
      <c r="L412" s="45" t="n"/>
      <c r="M412" s="45" t="n"/>
      <c r="N412" s="10" t="n"/>
      <c r="O412" s="10" t="n"/>
      <c r="P412" s="10" t="n"/>
      <c r="Q412" s="10" t="n"/>
      <c r="R412" s="11" t="n"/>
      <c r="S412" s="11" t="n"/>
    </row>
    <row r="413" ht="50.1" customFormat="1" customHeight="1" s="6">
      <c r="A413" s="24" t="n"/>
      <c r="B413" s="33" t="n"/>
      <c r="C413" s="23" t="n"/>
      <c r="D413" s="24" t="n"/>
      <c r="E413" s="44" t="n"/>
      <c r="F413" s="44" t="n"/>
      <c r="G413" s="24" t="n"/>
      <c r="H413" s="24" t="n"/>
      <c r="I413" s="24" t="n"/>
      <c r="J413" s="24" t="n"/>
      <c r="K413" s="45" t="n"/>
      <c r="L413" s="45" t="n"/>
      <c r="M413" s="45" t="n"/>
      <c r="N413" s="10" t="n"/>
      <c r="O413" s="10" t="n"/>
      <c r="P413" s="10" t="n"/>
      <c r="Q413" s="10" t="n"/>
      <c r="R413" s="11" t="n"/>
      <c r="S413" s="11" t="n"/>
    </row>
    <row r="414" ht="50.1" customFormat="1" customHeight="1" s="6">
      <c r="A414" s="24" t="n"/>
      <c r="B414" s="33" t="n"/>
      <c r="C414" s="23" t="n"/>
      <c r="D414" s="24" t="n"/>
      <c r="E414" s="44" t="n"/>
      <c r="F414" s="44" t="n"/>
      <c r="G414" s="24" t="n"/>
      <c r="H414" s="24" t="n"/>
      <c r="I414" s="24" t="n"/>
      <c r="J414" s="24" t="n"/>
      <c r="K414" s="45" t="n"/>
      <c r="L414" s="45" t="n"/>
      <c r="M414" s="45" t="n"/>
      <c r="N414" s="10" t="n"/>
      <c r="O414" s="10" t="n"/>
      <c r="P414" s="10" t="n"/>
      <c r="Q414" s="10" t="n"/>
      <c r="R414" s="11" t="n"/>
      <c r="S414" s="11" t="n"/>
    </row>
    <row r="415" ht="50.1" customFormat="1" customHeight="1" s="6">
      <c r="A415" s="24" t="n"/>
      <c r="B415" s="33" t="n"/>
      <c r="C415" s="23" t="n"/>
      <c r="D415" s="24" t="n"/>
      <c r="E415" s="44" t="n"/>
      <c r="F415" s="44" t="n"/>
      <c r="G415" s="24" t="n"/>
      <c r="H415" s="24" t="n"/>
      <c r="I415" s="24" t="n"/>
      <c r="J415" s="24" t="n"/>
      <c r="K415" s="45" t="n"/>
      <c r="L415" s="45" t="n"/>
      <c r="M415" s="45" t="n"/>
      <c r="N415" s="10" t="n"/>
      <c r="O415" s="10" t="n"/>
      <c r="P415" s="10" t="n"/>
      <c r="Q415" s="10" t="n"/>
      <c r="R415" s="11" t="n"/>
      <c r="S415" s="11" t="n"/>
    </row>
    <row r="416" ht="50.1" customFormat="1" customHeight="1" s="6">
      <c r="A416" s="24" t="n"/>
      <c r="B416" s="33" t="n"/>
      <c r="C416" s="23" t="n"/>
      <c r="D416" s="24" t="n"/>
      <c r="E416" s="44" t="n"/>
      <c r="F416" s="44" t="n"/>
      <c r="G416" s="24" t="n"/>
      <c r="H416" s="24" t="n"/>
      <c r="I416" s="24" t="n"/>
      <c r="J416" s="24" t="n"/>
      <c r="K416" s="45" t="n"/>
      <c r="L416" s="45" t="n"/>
      <c r="M416" s="45" t="n"/>
      <c r="N416" s="10" t="n"/>
      <c r="O416" s="10" t="n"/>
      <c r="P416" s="10" t="n"/>
      <c r="Q416" s="10" t="n"/>
      <c r="R416" s="11" t="n"/>
      <c r="S416" s="11" t="n"/>
    </row>
    <row r="417" ht="50.1" customFormat="1" customHeight="1" s="6">
      <c r="A417" s="24" t="n"/>
      <c r="B417" s="33" t="n"/>
      <c r="C417" s="23" t="n"/>
      <c r="D417" s="24" t="n"/>
      <c r="E417" s="44" t="n"/>
      <c r="F417" s="44" t="n"/>
      <c r="G417" s="24" t="n"/>
      <c r="H417" s="24" t="n"/>
      <c r="I417" s="24" t="n"/>
      <c r="J417" s="24" t="n"/>
      <c r="K417" s="45" t="n"/>
      <c r="L417" s="45" t="n"/>
      <c r="M417" s="45" t="n"/>
      <c r="N417" s="10" t="n"/>
      <c r="O417" s="10" t="n"/>
      <c r="P417" s="10" t="n"/>
      <c r="Q417" s="10" t="n"/>
      <c r="R417" s="11" t="n"/>
      <c r="S417" s="11" t="n"/>
    </row>
    <row r="418" ht="50.1" customFormat="1" customHeight="1" s="6">
      <c r="A418" s="24" t="n"/>
      <c r="B418" s="33" t="n"/>
      <c r="C418" s="23" t="n"/>
      <c r="D418" s="24" t="n"/>
      <c r="E418" s="44" t="n"/>
      <c r="F418" s="44" t="n"/>
      <c r="G418" s="24" t="n"/>
      <c r="H418" s="24" t="n"/>
      <c r="I418" s="24" t="n"/>
      <c r="J418" s="24" t="n"/>
      <c r="K418" s="45" t="n"/>
      <c r="L418" s="45" t="n"/>
      <c r="M418" s="45" t="n"/>
      <c r="N418" s="10" t="n"/>
      <c r="O418" s="10" t="n"/>
      <c r="P418" s="10" t="n"/>
      <c r="Q418" s="10" t="n"/>
      <c r="R418" s="11" t="n"/>
      <c r="S418" s="11" t="n"/>
    </row>
    <row r="419" ht="50.1" customFormat="1" customHeight="1" s="6">
      <c r="A419" s="24" t="n"/>
      <c r="B419" s="33" t="n"/>
      <c r="C419" s="23" t="n"/>
      <c r="D419" s="24" t="n"/>
      <c r="E419" s="44" t="n"/>
      <c r="F419" s="44" t="n"/>
      <c r="G419" s="24" t="n"/>
      <c r="H419" s="24" t="n"/>
      <c r="I419" s="24" t="n"/>
      <c r="J419" s="24" t="n"/>
      <c r="K419" s="45" t="n"/>
      <c r="L419" s="45" t="n"/>
      <c r="M419" s="45" t="n"/>
      <c r="N419" s="10" t="n"/>
      <c r="O419" s="10" t="n"/>
      <c r="P419" s="10" t="n"/>
      <c r="Q419" s="10" t="n"/>
      <c r="R419" s="11" t="n"/>
      <c r="S419" s="11" t="n"/>
    </row>
    <row r="420" ht="50.1" customFormat="1" customHeight="1" s="6">
      <c r="A420" s="24" t="n"/>
      <c r="B420" s="33" t="n"/>
      <c r="C420" s="23" t="n"/>
      <c r="D420" s="24" t="n"/>
      <c r="E420" s="44" t="n"/>
      <c r="F420" s="44" t="n"/>
      <c r="G420" s="24" t="n"/>
      <c r="H420" s="24" t="n"/>
      <c r="I420" s="24" t="n"/>
      <c r="J420" s="24" t="n"/>
      <c r="K420" s="45" t="n"/>
      <c r="L420" s="45" t="n"/>
      <c r="M420" s="45" t="n"/>
      <c r="N420" s="10" t="n"/>
      <c r="O420" s="10" t="n"/>
      <c r="P420" s="10" t="n"/>
      <c r="Q420" s="10" t="n"/>
      <c r="R420" s="11" t="n"/>
      <c r="S420" s="11" t="n"/>
    </row>
    <row r="421" ht="50.1" customFormat="1" customHeight="1" s="6">
      <c r="A421" s="24" t="n"/>
      <c r="B421" s="33" t="n"/>
      <c r="C421" s="23" t="n"/>
      <c r="D421" s="24" t="n"/>
      <c r="E421" s="44" t="n"/>
      <c r="F421" s="44" t="n"/>
      <c r="G421" s="24" t="n"/>
      <c r="H421" s="24" t="n"/>
      <c r="I421" s="24" t="n"/>
      <c r="J421" s="24" t="n"/>
      <c r="K421" s="45" t="n"/>
      <c r="L421" s="45" t="n"/>
      <c r="M421" s="45" t="n"/>
      <c r="N421" s="10" t="n"/>
      <c r="O421" s="10" t="n"/>
      <c r="P421" s="10" t="n"/>
      <c r="Q421" s="10" t="n"/>
      <c r="R421" s="11" t="n"/>
      <c r="S421" s="11" t="n"/>
    </row>
    <row r="422" ht="50.1" customFormat="1" customHeight="1" s="6">
      <c r="A422" s="24" t="n"/>
      <c r="B422" s="33" t="n"/>
      <c r="C422" s="23" t="n"/>
      <c r="D422" s="24" t="n"/>
      <c r="E422" s="44" t="n"/>
      <c r="F422" s="44" t="n"/>
      <c r="G422" s="24" t="n"/>
      <c r="H422" s="24" t="n"/>
      <c r="I422" s="24" t="n"/>
      <c r="J422" s="24" t="n"/>
      <c r="K422" s="45" t="n"/>
      <c r="L422" s="45" t="n"/>
      <c r="M422" s="45" t="n"/>
      <c r="N422" s="10" t="n"/>
      <c r="O422" s="10" t="n"/>
      <c r="P422" s="10" t="n"/>
      <c r="Q422" s="10" t="n"/>
      <c r="R422" s="11" t="n"/>
      <c r="S422" s="11" t="n"/>
    </row>
    <row r="423" ht="50.1" customFormat="1" customHeight="1" s="6">
      <c r="A423" s="24" t="n"/>
      <c r="B423" s="33" t="n"/>
      <c r="C423" s="23" t="n"/>
      <c r="D423" s="24" t="n"/>
      <c r="E423" s="44" t="n"/>
      <c r="F423" s="44" t="n"/>
      <c r="G423" s="24" t="n"/>
      <c r="H423" s="24" t="n"/>
      <c r="I423" s="24" t="n"/>
      <c r="J423" s="24" t="n"/>
      <c r="K423" s="45" t="n"/>
      <c r="L423" s="45" t="n"/>
      <c r="M423" s="45" t="n"/>
      <c r="N423" s="10" t="n"/>
      <c r="O423" s="10" t="n"/>
      <c r="P423" s="10" t="n"/>
      <c r="Q423" s="10" t="n"/>
      <c r="R423" s="11" t="n"/>
      <c r="S423" s="11" t="n"/>
    </row>
    <row r="424" ht="50.1" customFormat="1" customHeight="1" s="6">
      <c r="A424" s="24" t="n"/>
      <c r="B424" s="33" t="n"/>
      <c r="C424" s="23" t="n"/>
      <c r="D424" s="24" t="n"/>
      <c r="E424" s="44" t="n"/>
      <c r="F424" s="44" t="n"/>
      <c r="G424" s="24" t="n"/>
      <c r="H424" s="24" t="n"/>
      <c r="I424" s="24" t="n"/>
      <c r="J424" s="24" t="n"/>
      <c r="K424" s="45" t="n"/>
      <c r="L424" s="45" t="n"/>
      <c r="M424" s="45" t="n"/>
      <c r="N424" s="10" t="n"/>
      <c r="O424" s="10" t="n"/>
      <c r="P424" s="10" t="n"/>
      <c r="Q424" s="10" t="n"/>
      <c r="R424" s="11" t="n"/>
      <c r="S424" s="11" t="n"/>
    </row>
    <row r="425" ht="50.1" customFormat="1" customHeight="1" s="6">
      <c r="A425" s="24" t="n"/>
      <c r="B425" s="33" t="n"/>
      <c r="C425" s="23" t="n"/>
      <c r="D425" s="24" t="n"/>
      <c r="E425" s="44" t="n"/>
      <c r="F425" s="44" t="n"/>
      <c r="G425" s="24" t="n"/>
      <c r="H425" s="24" t="n"/>
      <c r="I425" s="24" t="n"/>
      <c r="J425" s="24" t="n"/>
      <c r="K425" s="45" t="n"/>
      <c r="L425" s="45" t="n"/>
      <c r="M425" s="45" t="n"/>
      <c r="N425" s="10" t="n"/>
      <c r="O425" s="10" t="n"/>
      <c r="P425" s="10" t="n"/>
      <c r="Q425" s="10" t="n"/>
      <c r="R425" s="11" t="n"/>
      <c r="S425" s="11" t="n"/>
    </row>
    <row r="426" ht="50.1" customFormat="1" customHeight="1" s="6">
      <c r="A426" s="24" t="n"/>
      <c r="B426" s="33" t="n"/>
      <c r="C426" s="23" t="n"/>
      <c r="D426" s="24" t="n"/>
      <c r="E426" s="44" t="n"/>
      <c r="F426" s="44" t="n"/>
      <c r="G426" s="24" t="n"/>
      <c r="H426" s="24" t="n"/>
      <c r="I426" s="24" t="n"/>
      <c r="J426" s="24" t="n"/>
      <c r="K426" s="45" t="n"/>
      <c r="L426" s="45" t="n"/>
      <c r="M426" s="45" t="n"/>
      <c r="N426" s="10" t="n"/>
      <c r="O426" s="10" t="n"/>
      <c r="P426" s="10" t="n"/>
      <c r="Q426" s="10" t="n"/>
      <c r="R426" s="11" t="n"/>
      <c r="S426" s="11" t="n"/>
    </row>
    <row r="427" ht="50.1" customFormat="1" customHeight="1" s="6">
      <c r="A427" s="24" t="n"/>
      <c r="B427" s="33" t="n"/>
      <c r="C427" s="23" t="n"/>
      <c r="D427" s="24" t="n"/>
      <c r="E427" s="44" t="n"/>
      <c r="F427" s="44" t="n"/>
      <c r="G427" s="24" t="n"/>
      <c r="H427" s="24" t="n"/>
      <c r="I427" s="24" t="n"/>
      <c r="J427" s="24" t="n"/>
      <c r="K427" s="45" t="n"/>
      <c r="L427" s="45" t="n"/>
      <c r="M427" s="45" t="n"/>
      <c r="N427" s="10" t="n"/>
      <c r="O427" s="10" t="n"/>
      <c r="P427" s="10" t="n"/>
      <c r="Q427" s="10" t="n"/>
      <c r="R427" s="11" t="n"/>
      <c r="S427" s="11" t="n"/>
    </row>
    <row r="428" ht="50.1" customFormat="1" customHeight="1" s="6">
      <c r="A428" s="24" t="n"/>
      <c r="B428" s="33" t="n"/>
      <c r="C428" s="23" t="n"/>
      <c r="D428" s="24" t="n"/>
      <c r="E428" s="44" t="n"/>
      <c r="F428" s="44" t="n"/>
      <c r="G428" s="24" t="n"/>
      <c r="H428" s="24" t="n"/>
      <c r="I428" s="24" t="n"/>
      <c r="J428" s="24" t="n"/>
      <c r="K428" s="45" t="n"/>
      <c r="L428" s="45" t="n"/>
      <c r="M428" s="45" t="n"/>
      <c r="N428" s="10" t="n"/>
      <c r="O428" s="10" t="n"/>
      <c r="P428" s="10" t="n"/>
      <c r="Q428" s="10" t="n"/>
      <c r="R428" s="11" t="n"/>
      <c r="S428" s="11" t="n"/>
    </row>
    <row r="429" ht="50.1" customFormat="1" customHeight="1" s="6">
      <c r="A429" s="24" t="n"/>
      <c r="B429" s="33" t="n"/>
      <c r="C429" s="23" t="n"/>
      <c r="D429" s="24" t="n"/>
      <c r="E429" s="44" t="n"/>
      <c r="F429" s="44" t="n"/>
      <c r="G429" s="24" t="n"/>
      <c r="H429" s="24" t="n"/>
      <c r="I429" s="24" t="n"/>
      <c r="J429" s="24" t="n"/>
      <c r="K429" s="45" t="n"/>
      <c r="L429" s="45" t="n"/>
      <c r="M429" s="45" t="n"/>
      <c r="N429" s="10" t="n"/>
      <c r="O429" s="10" t="n"/>
      <c r="P429" s="10" t="n"/>
      <c r="Q429" s="10" t="n"/>
      <c r="R429" s="11" t="n"/>
      <c r="S429" s="11" t="n"/>
    </row>
    <row r="430" ht="50.1" customFormat="1" customHeight="1" s="6">
      <c r="A430" s="24" t="n"/>
      <c r="B430" s="33" t="n"/>
      <c r="C430" s="23" t="n"/>
      <c r="D430" s="24" t="n"/>
      <c r="E430" s="44" t="n"/>
      <c r="F430" s="44" t="n"/>
      <c r="G430" s="24" t="n"/>
      <c r="H430" s="24" t="n"/>
      <c r="I430" s="30" t="n"/>
      <c r="J430" s="24" t="n"/>
      <c r="K430" s="45" t="n"/>
      <c r="L430" s="45" t="n"/>
      <c r="M430" s="45" t="n"/>
      <c r="N430" s="10" t="n"/>
      <c r="O430" s="10" t="n"/>
      <c r="P430" s="10" t="n"/>
      <c r="Q430" s="10" t="n"/>
      <c r="R430" s="11" t="n"/>
      <c r="S430" s="11" t="n"/>
    </row>
    <row r="431" ht="50.1" customFormat="1" customHeight="1" s="6">
      <c r="A431" s="24" t="n"/>
      <c r="B431" s="33" t="n"/>
      <c r="C431" s="23" t="n"/>
      <c r="D431" s="24" t="n"/>
      <c r="E431" s="44" t="n"/>
      <c r="F431" s="44" t="n"/>
      <c r="G431" s="24" t="n"/>
      <c r="H431" s="24" t="n"/>
      <c r="I431" s="30" t="n"/>
      <c r="J431" s="24" t="n"/>
      <c r="K431" s="45" t="n"/>
      <c r="L431" s="45" t="n"/>
      <c r="M431" s="45" t="n"/>
      <c r="N431" s="10" t="n"/>
      <c r="O431" s="10" t="n"/>
      <c r="P431" s="10" t="n"/>
      <c r="Q431" s="10" t="n"/>
      <c r="R431" s="11" t="n"/>
      <c r="S431" s="11" t="n"/>
    </row>
    <row r="432" ht="50.1" customFormat="1" customHeight="1" s="6">
      <c r="A432" s="24" t="n"/>
      <c r="B432" s="33" t="n"/>
      <c r="C432" s="23" t="n"/>
      <c r="D432" s="24" t="n"/>
      <c r="E432" s="44" t="n"/>
      <c r="F432" s="44" t="n"/>
      <c r="G432" s="24" t="n"/>
      <c r="H432" s="24" t="n"/>
      <c r="I432" s="24" t="n"/>
      <c r="J432" s="24" t="n"/>
      <c r="K432" s="45" t="n"/>
      <c r="L432" s="45" t="n"/>
      <c r="M432" s="45" t="n"/>
      <c r="N432" s="10" t="n"/>
      <c r="O432" s="10" t="n"/>
      <c r="P432" s="10" t="n"/>
      <c r="Q432" s="10" t="n"/>
      <c r="R432" s="11" t="n"/>
      <c r="S432" s="11" t="n"/>
    </row>
    <row r="433" ht="50.1" customFormat="1" customHeight="1" s="6">
      <c r="A433" s="24" t="n"/>
      <c r="B433" s="33" t="n"/>
      <c r="C433" s="23" t="n"/>
      <c r="D433" s="24" t="n"/>
      <c r="E433" s="44" t="n"/>
      <c r="F433" s="44" t="n"/>
      <c r="G433" s="24" t="n"/>
      <c r="H433" s="24" t="n"/>
      <c r="I433" s="24" t="n"/>
      <c r="J433" s="24" t="n"/>
      <c r="K433" s="45" t="n"/>
      <c r="L433" s="45" t="n"/>
      <c r="M433" s="45" t="n"/>
      <c r="N433" s="10" t="n"/>
      <c r="O433" s="10" t="n"/>
      <c r="P433" s="10" t="n"/>
      <c r="Q433" s="10" t="n"/>
      <c r="R433" s="11" t="n"/>
      <c r="S433" s="11" t="n"/>
    </row>
    <row r="434" ht="50.1" customFormat="1" customHeight="1" s="6">
      <c r="A434" s="24" t="n"/>
      <c r="B434" s="33" t="n"/>
      <c r="C434" s="23" t="n"/>
      <c r="D434" s="24" t="n"/>
      <c r="E434" s="44" t="n"/>
      <c r="F434" s="44" t="n"/>
      <c r="G434" s="24" t="n"/>
      <c r="H434" s="24" t="n"/>
      <c r="I434" s="24" t="n"/>
      <c r="J434" s="24" t="n"/>
      <c r="K434" s="45" t="n"/>
      <c r="L434" s="45" t="n"/>
      <c r="M434" s="45" t="n"/>
      <c r="N434" s="10" t="n"/>
      <c r="O434" s="10" t="n"/>
      <c r="P434" s="10" t="n"/>
      <c r="Q434" s="10" t="n"/>
      <c r="R434" s="11" t="n"/>
      <c r="S434" s="11" t="n"/>
    </row>
    <row r="435" ht="50.1" customFormat="1" customHeight="1" s="6">
      <c r="A435" s="24" t="n"/>
      <c r="B435" s="33" t="n"/>
      <c r="C435" s="23" t="n"/>
      <c r="D435" s="24" t="n"/>
      <c r="E435" s="44" t="n"/>
      <c r="F435" s="44" t="n"/>
      <c r="G435" s="24" t="n"/>
      <c r="H435" s="24" t="n"/>
      <c r="I435" s="24" t="n"/>
      <c r="J435" s="24" t="n"/>
      <c r="K435" s="45" t="n"/>
      <c r="L435" s="45" t="n"/>
      <c r="M435" s="45" t="n"/>
      <c r="N435" s="10" t="n"/>
      <c r="O435" s="10" t="n"/>
      <c r="P435" s="10" t="n"/>
      <c r="Q435" s="10" t="n"/>
      <c r="R435" s="11" t="n"/>
      <c r="S435" s="11" t="n"/>
    </row>
    <row r="436" ht="50.1" customFormat="1" customHeight="1" s="6">
      <c r="A436" s="24" t="n"/>
      <c r="B436" s="33" t="n"/>
      <c r="C436" s="23" t="n"/>
      <c r="D436" s="24" t="n"/>
      <c r="E436" s="44" t="n"/>
      <c r="F436" s="44" t="n"/>
      <c r="G436" s="24" t="n"/>
      <c r="H436" s="24" t="n"/>
      <c r="I436" s="24" t="n"/>
      <c r="J436" s="24" t="n"/>
      <c r="K436" s="45" t="n"/>
      <c r="L436" s="45" t="n"/>
      <c r="M436" s="45" t="n"/>
      <c r="N436" s="10" t="n"/>
      <c r="O436" s="10" t="n"/>
      <c r="P436" s="10" t="n"/>
      <c r="Q436" s="10" t="n"/>
      <c r="R436" s="11" t="n"/>
      <c r="S436" s="11" t="n"/>
    </row>
    <row r="437" ht="50.1" customFormat="1" customHeight="1" s="6">
      <c r="A437" s="24" t="n"/>
      <c r="B437" s="33" t="n"/>
      <c r="C437" s="23" t="n"/>
      <c r="D437" s="24" t="n"/>
      <c r="E437" s="44" t="n"/>
      <c r="F437" s="44" t="n"/>
      <c r="G437" s="24" t="n"/>
      <c r="H437" s="24" t="n"/>
      <c r="I437" s="24" t="n"/>
      <c r="J437" s="24" t="n"/>
      <c r="K437" s="45" t="n"/>
      <c r="L437" s="45" t="n"/>
      <c r="M437" s="45" t="n"/>
      <c r="N437" s="10" t="n"/>
      <c r="O437" s="10" t="n"/>
      <c r="P437" s="10" t="n"/>
      <c r="Q437" s="10" t="n"/>
      <c r="R437" s="11" t="n"/>
      <c r="S437" s="11" t="n"/>
    </row>
    <row r="438" ht="50.1" customFormat="1" customHeight="1" s="6">
      <c r="A438" s="24" t="n"/>
      <c r="B438" s="33" t="n"/>
      <c r="C438" s="23" t="n"/>
      <c r="D438" s="24" t="n"/>
      <c r="E438" s="44" t="n"/>
      <c r="F438" s="44" t="n"/>
      <c r="G438" s="24" t="n"/>
      <c r="H438" s="24" t="n"/>
      <c r="I438" s="24" t="n"/>
      <c r="J438" s="24" t="n"/>
      <c r="K438" s="45" t="n"/>
      <c r="L438" s="45" t="n"/>
      <c r="M438" s="45" t="n"/>
      <c r="N438" s="10" t="n"/>
      <c r="O438" s="10" t="n"/>
      <c r="P438" s="10" t="n"/>
      <c r="Q438" s="10" t="n"/>
      <c r="R438" s="11" t="n"/>
      <c r="S438" s="11" t="n"/>
    </row>
    <row r="439" ht="50.1" customFormat="1" customHeight="1" s="6">
      <c r="A439" s="24" t="n"/>
      <c r="B439" s="33" t="n"/>
      <c r="C439" s="23" t="n"/>
      <c r="D439" s="24" t="n"/>
      <c r="E439" s="44" t="n"/>
      <c r="F439" s="44" t="n"/>
      <c r="G439" s="24" t="n"/>
      <c r="H439" s="24" t="n"/>
      <c r="I439" s="24" t="n"/>
      <c r="J439" s="24" t="n"/>
      <c r="K439" s="45" t="n"/>
      <c r="L439" s="45" t="n"/>
      <c r="M439" s="45" t="n"/>
      <c r="N439" s="10" t="n"/>
      <c r="O439" s="10" t="n"/>
      <c r="P439" s="10" t="n"/>
      <c r="Q439" s="10" t="n"/>
      <c r="R439" s="11" t="n"/>
      <c r="S439" s="11" t="n"/>
    </row>
    <row r="440" ht="50.1" customFormat="1" customHeight="1" s="6">
      <c r="A440" s="24" t="n"/>
      <c r="B440" s="33" t="n"/>
      <c r="C440" s="23" t="n"/>
      <c r="D440" s="24" t="n"/>
      <c r="E440" s="44" t="n"/>
      <c r="F440" s="44" t="n"/>
      <c r="G440" s="24" t="n"/>
      <c r="H440" s="24" t="n"/>
      <c r="I440" s="24" t="n"/>
      <c r="J440" s="24" t="n"/>
      <c r="K440" s="45" t="n"/>
      <c r="L440" s="45" t="n"/>
      <c r="M440" s="45" t="n"/>
      <c r="N440" s="10" t="n"/>
      <c r="O440" s="10" t="n"/>
      <c r="P440" s="10" t="n"/>
      <c r="Q440" s="10" t="n"/>
      <c r="R440" s="11" t="n"/>
      <c r="S440" s="11" t="n"/>
    </row>
    <row r="441" ht="50.1" customFormat="1" customHeight="1" s="6">
      <c r="A441" s="24" t="n"/>
      <c r="B441" s="33" t="n"/>
      <c r="C441" s="23" t="n"/>
      <c r="D441" s="24" t="n"/>
      <c r="E441" s="44" t="n"/>
      <c r="F441" s="44" t="n"/>
      <c r="G441" s="24" t="n"/>
      <c r="H441" s="24" t="n"/>
      <c r="I441" s="24" t="n"/>
      <c r="J441" s="24" t="n"/>
      <c r="K441" s="45" t="n"/>
      <c r="L441" s="45" t="n"/>
      <c r="M441" s="45" t="n"/>
      <c r="N441" s="10" t="n"/>
      <c r="O441" s="10" t="n"/>
      <c r="P441" s="10" t="n"/>
      <c r="Q441" s="10" t="n"/>
      <c r="R441" s="11" t="n"/>
      <c r="S441" s="11" t="n"/>
    </row>
    <row r="442" ht="50.1" customFormat="1" customHeight="1" s="6">
      <c r="A442" s="24" t="n"/>
      <c r="B442" s="33" t="n"/>
      <c r="C442" s="23" t="n"/>
      <c r="D442" s="24" t="n"/>
      <c r="E442" s="44" t="n"/>
      <c r="F442" s="44" t="n"/>
      <c r="G442" s="24" t="n"/>
      <c r="H442" s="24" t="n"/>
      <c r="I442" s="24" t="n"/>
      <c r="J442" s="24" t="n"/>
      <c r="K442" s="45" t="n"/>
      <c r="L442" s="45" t="n"/>
      <c r="M442" s="45" t="n"/>
      <c r="N442" s="10" t="n"/>
      <c r="O442" s="10" t="n"/>
      <c r="P442" s="10" t="n"/>
      <c r="Q442" s="10" t="n"/>
      <c r="R442" s="11" t="n"/>
      <c r="S442" s="11" t="n"/>
    </row>
    <row r="443" ht="50.1" customFormat="1" customHeight="1" s="6">
      <c r="A443" s="24" t="n"/>
      <c r="B443" s="33" t="n"/>
      <c r="C443" s="23" t="n"/>
      <c r="D443" s="24" t="n"/>
      <c r="E443" s="44" t="n"/>
      <c r="F443" s="44" t="n"/>
      <c r="G443" s="24" t="n"/>
      <c r="H443" s="24" t="n"/>
      <c r="I443" s="24" t="n"/>
      <c r="J443" s="24" t="n"/>
      <c r="K443" s="45" t="n"/>
      <c r="L443" s="45" t="n"/>
      <c r="M443" s="45" t="n"/>
      <c r="N443" s="10" t="n"/>
      <c r="O443" s="10" t="n"/>
      <c r="P443" s="10" t="n"/>
      <c r="Q443" s="10" t="n"/>
      <c r="R443" s="11" t="n"/>
      <c r="S443" s="11" t="n"/>
    </row>
    <row r="444" ht="50.1" customFormat="1" customHeight="1" s="6">
      <c r="A444" s="24" t="n"/>
      <c r="B444" s="33" t="n"/>
      <c r="C444" s="23" t="n"/>
      <c r="D444" s="24" t="n"/>
      <c r="E444" s="44" t="n"/>
      <c r="F444" s="44" t="n"/>
      <c r="G444" s="24" t="n"/>
      <c r="H444" s="24" t="n"/>
      <c r="I444" s="24" t="n"/>
      <c r="J444" s="24" t="n"/>
      <c r="K444" s="45" t="n"/>
      <c r="L444" s="45" t="n"/>
      <c r="M444" s="45" t="n"/>
      <c r="N444" s="10" t="n"/>
      <c r="O444" s="10" t="n"/>
      <c r="P444" s="10" t="n"/>
      <c r="Q444" s="10" t="n"/>
      <c r="R444" s="11" t="n"/>
      <c r="S444" s="11" t="n"/>
    </row>
    <row r="445" ht="50.1" customFormat="1" customHeight="1" s="6">
      <c r="A445" s="24" t="n"/>
      <c r="B445" s="33" t="n"/>
      <c r="C445" s="23" t="n"/>
      <c r="D445" s="24" t="n"/>
      <c r="E445" s="44" t="n"/>
      <c r="F445" s="44" t="n"/>
      <c r="G445" s="24" t="n"/>
      <c r="H445" s="24" t="n"/>
      <c r="I445" s="24" t="n"/>
      <c r="J445" s="24" t="n"/>
      <c r="K445" s="45" t="n"/>
      <c r="L445" s="45" t="n"/>
      <c r="M445" s="45" t="n"/>
      <c r="N445" s="10" t="n"/>
      <c r="O445" s="10" t="n"/>
      <c r="P445" s="10" t="n"/>
      <c r="Q445" s="10" t="n"/>
      <c r="R445" s="11" t="n"/>
      <c r="S445" s="11" t="n"/>
    </row>
    <row r="446" ht="50.1" customFormat="1" customHeight="1" s="6">
      <c r="A446" s="24" t="n"/>
      <c r="B446" s="33" t="n"/>
      <c r="C446" s="23" t="n"/>
      <c r="D446" s="24" t="n"/>
      <c r="E446" s="44" t="n"/>
      <c r="F446" s="44" t="n"/>
      <c r="G446" s="24" t="n"/>
      <c r="H446" s="24" t="n"/>
      <c r="I446" s="24" t="n"/>
      <c r="J446" s="24" t="n"/>
      <c r="K446" s="45" t="n"/>
      <c r="L446" s="45" t="n"/>
      <c r="M446" s="45" t="n"/>
      <c r="N446" s="10" t="n"/>
      <c r="O446" s="10" t="n"/>
      <c r="P446" s="10" t="n"/>
      <c r="Q446" s="10" t="n"/>
      <c r="R446" s="11" t="n"/>
      <c r="S446" s="11" t="n"/>
    </row>
    <row r="447" ht="50.1" customFormat="1" customHeight="1" s="6">
      <c r="A447" s="24" t="n"/>
      <c r="B447" s="33" t="n"/>
      <c r="C447" s="23" t="n"/>
      <c r="D447" s="24" t="n"/>
      <c r="E447" s="44" t="n"/>
      <c r="F447" s="44" t="n"/>
      <c r="G447" s="24" t="n"/>
      <c r="H447" s="24" t="n"/>
      <c r="I447" s="24" t="n"/>
      <c r="J447" s="24" t="n"/>
      <c r="K447" s="45" t="n"/>
      <c r="L447" s="45" t="n"/>
      <c r="M447" s="45" t="n"/>
      <c r="N447" s="10" t="n"/>
      <c r="O447" s="10" t="n"/>
      <c r="P447" s="10" t="n"/>
      <c r="Q447" s="10" t="n"/>
      <c r="R447" s="11" t="n"/>
      <c r="S447" s="11" t="n"/>
    </row>
    <row r="448" ht="50.1" customFormat="1" customHeight="1" s="6">
      <c r="A448" s="24" t="n"/>
      <c r="B448" s="33" t="n"/>
      <c r="C448" s="23" t="n"/>
      <c r="D448" s="24" t="n"/>
      <c r="E448" s="44" t="n"/>
      <c r="F448" s="44" t="n"/>
      <c r="G448" s="24" t="n"/>
      <c r="H448" s="24" t="n"/>
      <c r="I448" s="24" t="n"/>
      <c r="J448" s="24" t="n"/>
      <c r="K448" s="45" t="n"/>
      <c r="L448" s="45" t="n"/>
      <c r="M448" s="45" t="n"/>
      <c r="N448" s="10" t="n"/>
      <c r="O448" s="10" t="n"/>
      <c r="P448" s="10" t="n"/>
      <c r="Q448" s="10" t="n"/>
      <c r="R448" s="11" t="n"/>
      <c r="S448" s="11" t="n"/>
    </row>
    <row r="449" ht="50.1" customFormat="1" customHeight="1" s="6">
      <c r="A449" s="24" t="n"/>
      <c r="B449" s="33" t="n"/>
      <c r="C449" s="23" t="n"/>
      <c r="D449" s="24" t="n"/>
      <c r="E449" s="44" t="n"/>
      <c r="F449" s="44" t="n"/>
      <c r="G449" s="24" t="n"/>
      <c r="H449" s="24" t="n"/>
      <c r="I449" s="24" t="n"/>
      <c r="J449" s="24" t="n"/>
      <c r="K449" s="45" t="n"/>
      <c r="L449" s="45" t="n"/>
      <c r="M449" s="45" t="n"/>
      <c r="N449" s="10" t="n"/>
      <c r="O449" s="10" t="n"/>
      <c r="P449" s="10" t="n"/>
      <c r="Q449" s="10" t="n"/>
      <c r="R449" s="11" t="n"/>
      <c r="S449" s="11" t="n"/>
    </row>
    <row r="450" ht="50.1" customFormat="1" customHeight="1" s="6">
      <c r="A450" s="24" t="n"/>
      <c r="B450" s="33" t="n"/>
      <c r="C450" s="23" t="n"/>
      <c r="D450" s="24" t="n"/>
      <c r="E450" s="44" t="n"/>
      <c r="F450" s="44" t="n"/>
      <c r="G450" s="24" t="n"/>
      <c r="H450" s="24" t="n"/>
      <c r="I450" s="24" t="n"/>
      <c r="J450" s="24" t="n"/>
      <c r="K450" s="45" t="n"/>
      <c r="L450" s="45" t="n"/>
      <c r="M450" s="45" t="n"/>
      <c r="N450" s="10" t="n"/>
      <c r="O450" s="10" t="n"/>
      <c r="P450" s="10" t="n"/>
      <c r="Q450" s="10" t="n"/>
      <c r="R450" s="11" t="n"/>
      <c r="S450" s="11" t="n"/>
    </row>
    <row r="451" ht="50.1" customFormat="1" customHeight="1" s="6">
      <c r="A451" s="24" t="n"/>
      <c r="B451" s="33" t="n"/>
      <c r="C451" s="23" t="n"/>
      <c r="D451" s="24" t="n"/>
      <c r="E451" s="44" t="n"/>
      <c r="F451" s="44" t="n"/>
      <c r="G451" s="24" t="n"/>
      <c r="H451" s="24" t="n"/>
      <c r="I451" s="24" t="n"/>
      <c r="J451" s="24" t="n"/>
      <c r="K451" s="45" t="n"/>
      <c r="L451" s="45" t="n"/>
      <c r="M451" s="45" t="n"/>
      <c r="N451" s="10" t="n"/>
      <c r="O451" s="10" t="n"/>
      <c r="P451" s="10" t="n"/>
      <c r="Q451" s="10" t="n"/>
      <c r="R451" s="11" t="n"/>
      <c r="S451" s="11" t="n"/>
    </row>
    <row r="452" ht="50.1" customFormat="1" customHeight="1" s="6">
      <c r="A452" s="24" t="n"/>
      <c r="B452" s="33" t="n"/>
      <c r="C452" s="23" t="n"/>
      <c r="D452" s="24" t="n"/>
      <c r="E452" s="44" t="n"/>
      <c r="F452" s="44" t="n"/>
      <c r="G452" s="24" t="n"/>
      <c r="H452" s="24" t="n"/>
      <c r="I452" s="24" t="n"/>
      <c r="J452" s="24" t="n"/>
      <c r="K452" s="45" t="n"/>
      <c r="L452" s="45" t="n"/>
      <c r="M452" s="45" t="n"/>
      <c r="N452" s="10" t="n"/>
      <c r="O452" s="10" t="n"/>
      <c r="P452" s="10" t="n"/>
      <c r="Q452" s="10" t="n"/>
      <c r="R452" s="11" t="n"/>
      <c r="S452" s="11" t="n"/>
    </row>
    <row r="453" ht="50.1" customFormat="1" customHeight="1" s="6">
      <c r="A453" s="24" t="n"/>
      <c r="B453" s="33" t="n"/>
      <c r="C453" s="23" t="n"/>
      <c r="D453" s="24" t="n"/>
      <c r="E453" s="44" t="n"/>
      <c r="F453" s="44" t="n"/>
      <c r="G453" s="24" t="n"/>
      <c r="H453" s="24" t="n"/>
      <c r="I453" s="30" t="n"/>
      <c r="J453" s="24" t="n"/>
      <c r="K453" s="45" t="n"/>
      <c r="L453" s="45" t="n"/>
      <c r="M453" s="45" t="n"/>
      <c r="N453" s="10" t="n"/>
      <c r="O453" s="10" t="n"/>
      <c r="P453" s="10" t="n"/>
      <c r="Q453" s="10" t="n"/>
      <c r="R453" s="11" t="n"/>
      <c r="S453" s="11" t="n"/>
    </row>
    <row r="454" ht="50.1" customFormat="1" customHeight="1" s="6">
      <c r="A454" s="24" t="n"/>
      <c r="B454" s="33" t="n"/>
      <c r="C454" s="23" t="n"/>
      <c r="D454" s="24" t="n"/>
      <c r="E454" s="24" t="n"/>
      <c r="F454" s="44" t="n"/>
      <c r="G454" s="24" t="n"/>
      <c r="H454" s="24" t="n"/>
      <c r="I454" s="30" t="n"/>
      <c r="J454" s="24" t="n"/>
      <c r="K454" s="45" t="n"/>
      <c r="L454" s="45" t="n"/>
      <c r="M454" s="45" t="n"/>
      <c r="N454" s="10" t="n"/>
      <c r="O454" s="10" t="n"/>
      <c r="P454" s="10" t="n"/>
      <c r="Q454" s="10" t="n"/>
      <c r="R454" s="11" t="n"/>
      <c r="S454" s="11" t="n"/>
    </row>
    <row r="455" ht="50.1" customFormat="1" customHeight="1" s="6">
      <c r="A455" s="24" t="n"/>
      <c r="B455" s="33" t="n"/>
      <c r="C455" s="23" t="n"/>
      <c r="D455" s="24" t="n"/>
      <c r="E455" s="24" t="n"/>
      <c r="F455" s="44" t="n"/>
      <c r="G455" s="24" t="n"/>
      <c r="H455" s="24" t="n"/>
      <c r="I455" s="30" t="n"/>
      <c r="J455" s="24" t="n"/>
      <c r="K455" s="45" t="n"/>
      <c r="L455" s="45" t="n"/>
      <c r="M455" s="45" t="n"/>
      <c r="N455" s="10" t="n"/>
      <c r="O455" s="10" t="n"/>
      <c r="P455" s="10" t="n"/>
      <c r="Q455" s="10" t="n"/>
      <c r="R455" s="11" t="n"/>
      <c r="S455" s="11" t="n"/>
    </row>
    <row r="456" ht="50.1" customFormat="1" customHeight="1" s="6">
      <c r="A456" s="24" t="n"/>
      <c r="B456" s="33" t="n"/>
      <c r="C456" s="23" t="n"/>
      <c r="D456" s="24" t="n"/>
      <c r="E456" s="44" t="n"/>
      <c r="F456" s="44" t="n"/>
      <c r="G456" s="24" t="n"/>
      <c r="H456" s="24" t="n"/>
      <c r="I456" s="30" t="n"/>
      <c r="J456" s="24" t="n"/>
      <c r="K456" s="45" t="n"/>
      <c r="L456" s="45" t="n"/>
      <c r="M456" s="45" t="n"/>
      <c r="N456" s="10" t="n"/>
      <c r="O456" s="10" t="n"/>
      <c r="P456" s="10" t="n"/>
      <c r="Q456" s="10" t="n"/>
      <c r="R456" s="11" t="n"/>
      <c r="S456" s="11" t="n"/>
    </row>
    <row r="457" ht="50.1" customFormat="1" customHeight="1" s="6">
      <c r="A457" s="24" t="n"/>
      <c r="B457" s="33" t="n"/>
      <c r="C457" s="23" t="n"/>
      <c r="D457" s="24" t="n"/>
      <c r="E457" s="44" t="n"/>
      <c r="F457" s="44" t="n"/>
      <c r="G457" s="24" t="n"/>
      <c r="H457" s="24" t="n"/>
      <c r="I457" s="24" t="n"/>
      <c r="J457" s="24" t="n"/>
      <c r="K457" s="45" t="n"/>
      <c r="L457" s="45" t="n"/>
      <c r="M457" s="45" t="n"/>
      <c r="N457" s="10" t="n"/>
      <c r="O457" s="10" t="n"/>
      <c r="P457" s="10" t="n"/>
      <c r="Q457" s="10" t="n"/>
      <c r="R457" s="11" t="n"/>
      <c r="S457" s="11" t="n"/>
    </row>
    <row r="458" ht="50.1" customFormat="1" customHeight="1" s="6">
      <c r="A458" s="24" t="n"/>
      <c r="B458" s="33" t="n"/>
      <c r="C458" s="23" t="n"/>
      <c r="D458" s="24" t="n"/>
      <c r="E458" s="44" t="n"/>
      <c r="F458" s="44" t="n"/>
      <c r="G458" s="24" t="n"/>
      <c r="H458" s="24" t="n"/>
      <c r="I458" s="30" t="n"/>
      <c r="J458" s="24" t="n"/>
      <c r="K458" s="45" t="n"/>
      <c r="L458" s="45" t="n"/>
      <c r="M458" s="45" t="n"/>
      <c r="N458" s="10" t="n"/>
      <c r="O458" s="10" t="n"/>
      <c r="P458" s="10" t="n"/>
      <c r="Q458" s="10" t="n"/>
      <c r="R458" s="11" t="n"/>
      <c r="S458" s="11" t="n"/>
    </row>
    <row r="459" ht="50.1" customFormat="1" customHeight="1" s="6">
      <c r="A459" s="24" t="n"/>
      <c r="B459" s="33" t="n"/>
      <c r="C459" s="23" t="n"/>
      <c r="D459" s="24" t="n"/>
      <c r="E459" s="44" t="n"/>
      <c r="F459" s="44" t="n"/>
      <c r="G459" s="24" t="n"/>
      <c r="H459" s="24" t="n"/>
      <c r="I459" s="24" t="n"/>
      <c r="J459" s="24" t="n"/>
      <c r="K459" s="45" t="n"/>
      <c r="L459" s="45" t="n"/>
      <c r="M459" s="45" t="n"/>
      <c r="N459" s="10" t="n"/>
      <c r="O459" s="10" t="n"/>
      <c r="P459" s="10" t="n"/>
      <c r="Q459" s="10" t="n"/>
      <c r="R459" s="11" t="n"/>
      <c r="S459" s="11" t="n"/>
    </row>
    <row r="460" ht="50.1" customFormat="1" customHeight="1" s="6">
      <c r="A460" s="24" t="n"/>
      <c r="B460" s="33" t="n"/>
      <c r="C460" s="23" t="n"/>
      <c r="D460" s="24" t="n"/>
      <c r="E460" s="44" t="n"/>
      <c r="F460" s="44" t="n"/>
      <c r="G460" s="24" t="n"/>
      <c r="H460" s="24" t="n"/>
      <c r="I460" s="24" t="n"/>
      <c r="J460" s="24" t="n"/>
      <c r="K460" s="45" t="n"/>
      <c r="L460" s="45" t="n"/>
      <c r="M460" s="45" t="n"/>
      <c r="N460" s="10" t="n"/>
      <c r="O460" s="10" t="n"/>
      <c r="P460" s="10" t="n"/>
      <c r="Q460" s="10" t="n"/>
      <c r="R460" s="11" t="n"/>
      <c r="S460" s="11" t="n"/>
    </row>
    <row r="461" ht="50.1" customFormat="1" customHeight="1" s="6">
      <c r="A461" s="24" t="n"/>
      <c r="B461" s="33" t="n"/>
      <c r="C461" s="23" t="n"/>
      <c r="D461" s="24" t="n"/>
      <c r="E461" s="44" t="n"/>
      <c r="F461" s="44" t="n"/>
      <c r="G461" s="24" t="n"/>
      <c r="H461" s="24" t="n"/>
      <c r="I461" s="24" t="n"/>
      <c r="J461" s="24" t="n"/>
      <c r="K461" s="45" t="n"/>
      <c r="L461" s="45" t="n"/>
      <c r="M461" s="45" t="n"/>
      <c r="N461" s="10" t="n"/>
      <c r="O461" s="10" t="n"/>
      <c r="P461" s="10" t="n"/>
      <c r="Q461" s="10" t="n"/>
      <c r="R461" s="11" t="n"/>
      <c r="S461" s="11" t="n"/>
    </row>
    <row r="462" ht="50.1" customFormat="1" customHeight="1" s="6">
      <c r="A462" s="24" t="n"/>
      <c r="B462" s="33" t="n"/>
      <c r="C462" s="23" t="n"/>
      <c r="D462" s="24" t="n"/>
      <c r="E462" s="44" t="n"/>
      <c r="F462" s="44" t="n"/>
      <c r="G462" s="24" t="n"/>
      <c r="H462" s="24" t="n"/>
      <c r="I462" s="24" t="n"/>
      <c r="J462" s="24" t="n"/>
      <c r="K462" s="45" t="n"/>
      <c r="L462" s="45" t="n"/>
      <c r="M462" s="45" t="n"/>
      <c r="N462" s="10" t="n"/>
      <c r="O462" s="10" t="n"/>
      <c r="P462" s="10" t="n"/>
      <c r="Q462" s="10" t="n"/>
      <c r="R462" s="11" t="n"/>
      <c r="S462" s="11" t="n"/>
    </row>
    <row r="463" ht="50.1" customFormat="1" customHeight="1" s="6">
      <c r="A463" s="24" t="n"/>
      <c r="B463" s="33" t="n"/>
      <c r="C463" s="23" t="n"/>
      <c r="D463" s="24" t="n"/>
      <c r="E463" s="44" t="n"/>
      <c r="F463" s="44" t="n"/>
      <c r="G463" s="24" t="n"/>
      <c r="H463" s="24" t="n"/>
      <c r="I463" s="24" t="n"/>
      <c r="J463" s="24" t="n"/>
      <c r="K463" s="45" t="n"/>
      <c r="L463" s="45" t="n"/>
      <c r="M463" s="45" t="n"/>
      <c r="N463" s="10" t="n"/>
      <c r="O463" s="10" t="n"/>
      <c r="P463" s="10" t="n"/>
      <c r="Q463" s="10" t="n"/>
      <c r="R463" s="11" t="n"/>
      <c r="S463" s="11" t="n"/>
    </row>
    <row r="464" ht="50.1" customFormat="1" customHeight="1" s="6">
      <c r="A464" s="24" t="n"/>
      <c r="B464" s="33" t="n"/>
      <c r="C464" s="23" t="n"/>
      <c r="D464" s="24" t="n"/>
      <c r="E464" s="44" t="n"/>
      <c r="F464" s="44" t="n"/>
      <c r="G464" s="24" t="n"/>
      <c r="H464" s="24" t="n"/>
      <c r="I464" s="24" t="n"/>
      <c r="J464" s="24" t="n"/>
      <c r="K464" s="45" t="n"/>
      <c r="L464" s="45" t="n"/>
      <c r="M464" s="45" t="n"/>
      <c r="N464" s="10" t="n"/>
      <c r="O464" s="10" t="n"/>
      <c r="P464" s="10" t="n"/>
      <c r="Q464" s="10" t="n"/>
      <c r="R464" s="11" t="n"/>
      <c r="S464" s="11" t="n"/>
    </row>
    <row r="465" ht="50.1" customFormat="1" customHeight="1" s="6">
      <c r="A465" s="24" t="n"/>
      <c r="B465" s="33" t="n"/>
      <c r="C465" s="23" t="n"/>
      <c r="D465" s="24" t="n"/>
      <c r="E465" s="44" t="n"/>
      <c r="F465" s="44" t="n"/>
      <c r="G465" s="24" t="n"/>
      <c r="H465" s="24" t="n"/>
      <c r="I465" s="24" t="n"/>
      <c r="J465" s="24" t="n"/>
      <c r="K465" s="45" t="n"/>
      <c r="L465" s="45" t="n"/>
      <c r="M465" s="45" t="n"/>
      <c r="N465" s="10" t="n"/>
      <c r="O465" s="10" t="n"/>
      <c r="P465" s="10" t="n"/>
      <c r="Q465" s="10" t="n"/>
      <c r="R465" s="11" t="n"/>
      <c r="S465" s="11" t="n"/>
    </row>
    <row r="466" ht="50.1" customFormat="1" customHeight="1" s="6">
      <c r="A466" s="24" t="n"/>
      <c r="B466" s="33" t="n"/>
      <c r="C466" s="23" t="n"/>
      <c r="D466" s="24" t="n"/>
      <c r="E466" s="44" t="n"/>
      <c r="F466" s="44" t="n"/>
      <c r="G466" s="24" t="n"/>
      <c r="H466" s="24" t="n"/>
      <c r="I466" s="24" t="n"/>
      <c r="J466" s="24" t="n"/>
      <c r="K466" s="45" t="n"/>
      <c r="L466" s="45" t="n"/>
      <c r="M466" s="45" t="n"/>
      <c r="N466" s="10" t="n"/>
      <c r="O466" s="10" t="n"/>
      <c r="P466" s="10" t="n"/>
      <c r="Q466" s="10" t="n"/>
      <c r="R466" s="11" t="n"/>
      <c r="S466" s="11" t="n"/>
    </row>
    <row r="467" ht="50.1" customFormat="1" customHeight="1" s="6">
      <c r="A467" s="24" t="n"/>
      <c r="B467" s="33" t="n"/>
      <c r="C467" s="23" t="n"/>
      <c r="D467" s="24" t="n"/>
      <c r="E467" s="44" t="n"/>
      <c r="F467" s="44" t="n"/>
      <c r="G467" s="24" t="n"/>
      <c r="H467" s="24" t="n"/>
      <c r="I467" s="24" t="n"/>
      <c r="J467" s="24" t="n"/>
      <c r="K467" s="45" t="n"/>
      <c r="L467" s="45" t="n"/>
      <c r="M467" s="45" t="n"/>
      <c r="N467" s="10" t="n"/>
      <c r="O467" s="10" t="n"/>
      <c r="P467" s="10" t="n"/>
      <c r="Q467" s="10" t="n"/>
      <c r="R467" s="11" t="n"/>
      <c r="S467" s="11" t="n"/>
    </row>
    <row r="468" ht="50.1" customFormat="1" customHeight="1" s="6">
      <c r="A468" s="24" t="n"/>
      <c r="B468" s="33" t="n"/>
      <c r="C468" s="23" t="n"/>
      <c r="D468" s="24" t="n"/>
      <c r="E468" s="44" t="n"/>
      <c r="F468" s="44" t="n"/>
      <c r="G468" s="24" t="n"/>
      <c r="H468" s="24" t="n"/>
      <c r="I468" s="24" t="n"/>
      <c r="J468" s="24" t="n"/>
      <c r="K468" s="45" t="n"/>
      <c r="L468" s="45" t="n"/>
      <c r="M468" s="45" t="n"/>
      <c r="N468" s="10" t="n"/>
      <c r="O468" s="10" t="n"/>
      <c r="P468" s="10" t="n"/>
      <c r="Q468" s="10" t="n"/>
      <c r="R468" s="11" t="n"/>
      <c r="S468" s="11" t="n"/>
    </row>
    <row r="469" ht="50.1" customFormat="1" customHeight="1" s="6">
      <c r="A469" s="24" t="n"/>
      <c r="B469" s="33" t="n"/>
      <c r="C469" s="23" t="n"/>
      <c r="D469" s="24" t="n"/>
      <c r="E469" s="44" t="n"/>
      <c r="F469" s="44" t="n"/>
      <c r="G469" s="24" t="n"/>
      <c r="H469" s="24" t="n"/>
      <c r="I469" s="24" t="n"/>
      <c r="J469" s="24" t="n"/>
      <c r="K469" s="45" t="n"/>
      <c r="L469" s="45" t="n"/>
      <c r="M469" s="45" t="n"/>
      <c r="N469" s="10" t="n"/>
      <c r="O469" s="10" t="n"/>
      <c r="P469" s="10" t="n"/>
      <c r="Q469" s="10" t="n"/>
      <c r="R469" s="11" t="n"/>
      <c r="S469" s="11" t="n"/>
    </row>
    <row r="470" ht="50.1" customFormat="1" customHeight="1" s="6">
      <c r="A470" s="24" t="n"/>
      <c r="B470" s="33" t="n"/>
      <c r="C470" s="23" t="n"/>
      <c r="D470" s="24" t="n"/>
      <c r="E470" s="44" t="n"/>
      <c r="F470" s="44" t="n"/>
      <c r="G470" s="24" t="n"/>
      <c r="H470" s="24" t="n"/>
      <c r="I470" s="24" t="n"/>
      <c r="J470" s="24" t="n"/>
      <c r="K470" s="45" t="n"/>
      <c r="L470" s="45" t="n"/>
      <c r="M470" s="45" t="n"/>
      <c r="N470" s="10" t="n"/>
      <c r="O470" s="10" t="n"/>
      <c r="P470" s="10" t="n"/>
      <c r="Q470" s="10" t="n"/>
      <c r="R470" s="11" t="n"/>
      <c r="S470" s="11" t="n"/>
    </row>
    <row r="471" ht="50.1" customFormat="1" customHeight="1" s="6">
      <c r="A471" s="24" t="n"/>
      <c r="B471" s="33" t="n"/>
      <c r="C471" s="23" t="n"/>
      <c r="D471" s="24" t="n"/>
      <c r="E471" s="44" t="n"/>
      <c r="F471" s="44" t="n"/>
      <c r="G471" s="24" t="n"/>
      <c r="H471" s="24" t="n"/>
      <c r="I471" s="24" t="n"/>
      <c r="J471" s="24" t="n"/>
      <c r="K471" s="45" t="n"/>
      <c r="L471" s="45" t="n"/>
      <c r="M471" s="45" t="n"/>
      <c r="N471" s="10" t="n"/>
      <c r="O471" s="10" t="n"/>
      <c r="P471" s="10" t="n"/>
      <c r="Q471" s="10" t="n"/>
      <c r="R471" s="11" t="n"/>
      <c r="S471" s="11" t="n"/>
    </row>
    <row r="472" ht="50.1" customFormat="1" customHeight="1" s="6">
      <c r="A472" s="24" t="n"/>
      <c r="B472" s="33" t="n"/>
      <c r="C472" s="23" t="n"/>
      <c r="D472" s="24" t="n"/>
      <c r="E472" s="44" t="n"/>
      <c r="F472" s="44" t="n"/>
      <c r="G472" s="24" t="n"/>
      <c r="H472" s="24" t="n"/>
      <c r="I472" s="24" t="n"/>
      <c r="J472" s="24" t="n"/>
      <c r="K472" s="45" t="n"/>
      <c r="L472" s="45" t="n"/>
      <c r="M472" s="45" t="n"/>
      <c r="N472" s="10" t="n"/>
      <c r="O472" s="10" t="n"/>
      <c r="P472" s="10" t="n"/>
      <c r="Q472" s="10" t="n"/>
      <c r="R472" s="11" t="n"/>
      <c r="S472" s="11" t="n"/>
    </row>
    <row r="473" ht="50.1" customFormat="1" customHeight="1" s="6">
      <c r="A473" s="24" t="n"/>
      <c r="B473" s="33" t="n"/>
      <c r="C473" s="23" t="n"/>
      <c r="D473" s="24" t="n"/>
      <c r="E473" s="44" t="n"/>
      <c r="F473" s="44" t="n"/>
      <c r="G473" s="24" t="n"/>
      <c r="H473" s="24" t="n"/>
      <c r="I473" s="24" t="n"/>
      <c r="J473" s="24" t="n"/>
      <c r="K473" s="45" t="n"/>
      <c r="L473" s="45" t="n"/>
      <c r="M473" s="45" t="n"/>
      <c r="N473" s="10" t="n"/>
      <c r="O473" s="10" t="n"/>
      <c r="P473" s="10" t="n"/>
      <c r="Q473" s="10" t="n"/>
      <c r="R473" s="11" t="n"/>
      <c r="S473" s="11" t="n"/>
    </row>
    <row r="474" ht="50.1" customFormat="1" customHeight="1" s="6">
      <c r="A474" s="24" t="n"/>
      <c r="B474" s="33" t="n"/>
      <c r="C474" s="23" t="n"/>
      <c r="D474" s="24" t="n"/>
      <c r="E474" s="44" t="n"/>
      <c r="F474" s="44" t="n"/>
      <c r="G474" s="24" t="n"/>
      <c r="H474" s="24" t="n"/>
      <c r="I474" s="24" t="n"/>
      <c r="J474" s="24" t="n"/>
      <c r="K474" s="45" t="n"/>
      <c r="L474" s="45" t="n"/>
      <c r="M474" s="45" t="n"/>
      <c r="N474" s="10" t="n"/>
      <c r="O474" s="10" t="n"/>
      <c r="P474" s="10" t="n"/>
      <c r="Q474" s="10" t="n"/>
      <c r="R474" s="11" t="n"/>
      <c r="S474" s="11" t="n"/>
    </row>
    <row r="475" ht="50.1" customFormat="1" customHeight="1" s="6">
      <c r="A475" s="24" t="n"/>
      <c r="B475" s="33" t="n"/>
      <c r="C475" s="23" t="n"/>
      <c r="D475" s="24" t="n"/>
      <c r="E475" s="44" t="n"/>
      <c r="F475" s="44" t="n"/>
      <c r="G475" s="24" t="n"/>
      <c r="H475" s="24" t="n"/>
      <c r="I475" s="24" t="n"/>
      <c r="J475" s="24" t="n"/>
      <c r="K475" s="45" t="n"/>
      <c r="L475" s="45" t="n"/>
      <c r="M475" s="45" t="n"/>
      <c r="N475" s="10" t="n"/>
      <c r="O475" s="10" t="n"/>
      <c r="P475" s="10" t="n"/>
      <c r="Q475" s="10" t="n"/>
      <c r="R475" s="11" t="n"/>
      <c r="S475" s="11" t="n"/>
    </row>
    <row r="476" ht="50.1" customFormat="1" customHeight="1" s="6">
      <c r="A476" s="24" t="n"/>
      <c r="B476" s="33" t="n"/>
      <c r="C476" s="23" t="n"/>
      <c r="D476" s="24" t="n"/>
      <c r="E476" s="44" t="n"/>
      <c r="F476" s="44" t="n"/>
      <c r="G476" s="24" t="n"/>
      <c r="H476" s="24" t="n"/>
      <c r="I476" s="24" t="n"/>
      <c r="J476" s="24" t="n"/>
      <c r="K476" s="45" t="n"/>
      <c r="L476" s="45" t="n"/>
      <c r="M476" s="45" t="n"/>
      <c r="N476" s="10" t="n"/>
      <c r="O476" s="10" t="n"/>
      <c r="P476" s="10" t="n"/>
      <c r="Q476" s="10" t="n"/>
      <c r="R476" s="11" t="n"/>
      <c r="S476" s="11" t="n"/>
    </row>
    <row r="477" ht="50.1" customFormat="1" customHeight="1" s="6">
      <c r="A477" s="24" t="n"/>
      <c r="B477" s="33" t="n"/>
      <c r="C477" s="23" t="n"/>
      <c r="D477" s="24" t="n"/>
      <c r="E477" s="44" t="n"/>
      <c r="F477" s="44" t="n"/>
      <c r="G477" s="24" t="n"/>
      <c r="H477" s="24" t="n"/>
      <c r="I477" s="24" t="n"/>
      <c r="J477" s="24" t="n"/>
      <c r="K477" s="45" t="n"/>
      <c r="L477" s="45" t="n"/>
      <c r="M477" s="45" t="n"/>
      <c r="N477" s="10" t="n"/>
      <c r="O477" s="10" t="n"/>
      <c r="P477" s="10" t="n"/>
      <c r="Q477" s="10" t="n"/>
      <c r="R477" s="11" t="n"/>
      <c r="S477" s="11" t="n"/>
    </row>
    <row r="478" ht="50.1" customFormat="1" customHeight="1" s="6">
      <c r="A478" s="24" t="n"/>
      <c r="B478" s="33" t="n"/>
      <c r="C478" s="23" t="n"/>
      <c r="D478" s="24" t="n"/>
      <c r="E478" s="44" t="n"/>
      <c r="F478" s="44" t="n"/>
      <c r="G478" s="24" t="n"/>
      <c r="H478" s="24" t="n"/>
      <c r="I478" s="24" t="n"/>
      <c r="J478" s="24" t="n"/>
      <c r="K478" s="45" t="n"/>
      <c r="L478" s="45" t="n"/>
      <c r="M478" s="45" t="n"/>
      <c r="N478" s="10" t="n"/>
      <c r="O478" s="10" t="n"/>
      <c r="P478" s="10" t="n"/>
      <c r="Q478" s="10" t="n"/>
      <c r="R478" s="11" t="n"/>
      <c r="S478" s="11" t="n"/>
    </row>
    <row r="479" ht="50.1" customFormat="1" customHeight="1" s="6">
      <c r="A479" s="24" t="n"/>
      <c r="B479" s="33" t="n"/>
      <c r="C479" s="23" t="n"/>
      <c r="D479" s="24" t="n"/>
      <c r="E479" s="44" t="n"/>
      <c r="F479" s="44" t="n"/>
      <c r="G479" s="24" t="n"/>
      <c r="H479" s="24" t="n"/>
      <c r="I479" s="24" t="n"/>
      <c r="J479" s="24" t="n"/>
      <c r="K479" s="45" t="n"/>
      <c r="L479" s="45" t="n"/>
      <c r="M479" s="45" t="n"/>
      <c r="N479" s="10" t="n"/>
      <c r="O479" s="10" t="n"/>
      <c r="P479" s="10" t="n"/>
      <c r="Q479" s="10" t="n"/>
      <c r="R479" s="11" t="n"/>
      <c r="S479" s="11" t="n"/>
    </row>
    <row r="480" ht="50.1" customFormat="1" customHeight="1" s="6">
      <c r="A480" s="24" t="n"/>
      <c r="B480" s="33" t="n"/>
      <c r="C480" s="23" t="n"/>
      <c r="D480" s="24" t="n"/>
      <c r="E480" s="44" t="n"/>
      <c r="F480" s="44" t="n"/>
      <c r="G480" s="24" t="n"/>
      <c r="H480" s="24" t="n"/>
      <c r="I480" s="24" t="n"/>
      <c r="J480" s="24" t="n"/>
      <c r="K480" s="45" t="n"/>
      <c r="L480" s="45" t="n"/>
      <c r="M480" s="45" t="n"/>
      <c r="N480" s="10" t="n"/>
      <c r="O480" s="10" t="n"/>
      <c r="P480" s="10" t="n"/>
      <c r="Q480" s="10" t="n"/>
      <c r="R480" s="11" t="n"/>
      <c r="S480" s="11" t="n"/>
    </row>
    <row r="481" ht="50.1" customFormat="1" customHeight="1" s="6">
      <c r="A481" s="24" t="n"/>
      <c r="B481" s="33" t="n"/>
      <c r="C481" s="23" t="n"/>
      <c r="D481" s="24" t="n"/>
      <c r="E481" s="44" t="n"/>
      <c r="F481" s="44" t="n"/>
      <c r="G481" s="24" t="n"/>
      <c r="H481" s="24" t="n"/>
      <c r="I481" s="24" t="n"/>
      <c r="J481" s="24" t="n"/>
      <c r="K481" s="45" t="n"/>
      <c r="L481" s="45" t="n"/>
      <c r="M481" s="45" t="n"/>
      <c r="N481" s="10" t="n"/>
      <c r="O481" s="10" t="n"/>
      <c r="P481" s="10" t="n"/>
      <c r="Q481" s="10" t="n"/>
      <c r="R481" s="11" t="n"/>
      <c r="S481" s="11" t="n"/>
    </row>
    <row r="482" ht="50.1" customFormat="1" customHeight="1" s="6">
      <c r="A482" s="24" t="n"/>
      <c r="B482" s="33" t="n"/>
      <c r="C482" s="23" t="n"/>
      <c r="D482" s="24" t="n"/>
      <c r="E482" s="44" t="n"/>
      <c r="F482" s="44" t="n"/>
      <c r="G482" s="24" t="n"/>
      <c r="H482" s="24" t="n"/>
      <c r="I482" s="24" t="n"/>
      <c r="J482" s="24" t="n"/>
      <c r="K482" s="45" t="n"/>
      <c r="L482" s="45" t="n"/>
      <c r="M482" s="45" t="n"/>
      <c r="N482" s="10" t="n"/>
      <c r="O482" s="10" t="n"/>
      <c r="P482" s="10" t="n"/>
      <c r="Q482" s="10" t="n"/>
      <c r="R482" s="11" t="n"/>
      <c r="S482" s="11" t="n"/>
    </row>
    <row r="483" ht="50.1" customFormat="1" customHeight="1" s="6">
      <c r="A483" s="24" t="n"/>
      <c r="B483" s="33" t="n"/>
      <c r="C483" s="23" t="n"/>
      <c r="D483" s="24" t="n"/>
      <c r="E483" s="44" t="n"/>
      <c r="F483" s="44" t="n"/>
      <c r="G483" s="24" t="n"/>
      <c r="H483" s="24" t="n"/>
      <c r="I483" s="24" t="n"/>
      <c r="J483" s="24" t="n"/>
      <c r="K483" s="45" t="n"/>
      <c r="L483" s="45" t="n"/>
      <c r="M483" s="45" t="n"/>
      <c r="N483" s="10" t="n"/>
      <c r="O483" s="10" t="n"/>
      <c r="P483" s="10" t="n"/>
      <c r="Q483" s="10" t="n"/>
      <c r="R483" s="11" t="n"/>
      <c r="S483" s="11" t="n"/>
    </row>
    <row r="484" ht="50.1" customFormat="1" customHeight="1" s="6">
      <c r="A484" s="24" t="n"/>
      <c r="B484" s="33" t="n"/>
      <c r="C484" s="23" t="n"/>
      <c r="D484" s="24" t="n"/>
      <c r="E484" s="44" t="n"/>
      <c r="F484" s="44" t="n"/>
      <c r="G484" s="24" t="n"/>
      <c r="H484" s="24" t="n"/>
      <c r="I484" s="24" t="n"/>
      <c r="J484" s="24" t="n"/>
      <c r="K484" s="45" t="n"/>
      <c r="L484" s="45" t="n"/>
      <c r="M484" s="45" t="n"/>
      <c r="N484" s="10" t="n"/>
      <c r="O484" s="10" t="n"/>
      <c r="P484" s="10" t="n"/>
      <c r="Q484" s="10" t="n"/>
      <c r="R484" s="11" t="n"/>
      <c r="S484" s="11" t="n"/>
    </row>
    <row r="485" ht="50.1" customFormat="1" customHeight="1" s="6">
      <c r="A485" s="24" t="n"/>
      <c r="B485" s="33" t="n"/>
      <c r="C485" s="23" t="n"/>
      <c r="D485" s="24" t="n"/>
      <c r="E485" s="44" t="n"/>
      <c r="F485" s="44" t="n"/>
      <c r="G485" s="24" t="n"/>
      <c r="H485" s="24" t="n"/>
      <c r="I485" s="24" t="n"/>
      <c r="J485" s="24" t="n"/>
      <c r="K485" s="45" t="n"/>
      <c r="L485" s="45" t="n"/>
      <c r="M485" s="45" t="n"/>
      <c r="N485" s="10" t="n"/>
      <c r="O485" s="10" t="n"/>
      <c r="P485" s="10" t="n"/>
      <c r="Q485" s="10" t="n"/>
      <c r="R485" s="11" t="n"/>
      <c r="S485" s="11" t="n"/>
    </row>
    <row r="486" ht="50.1" customFormat="1" customHeight="1" s="6">
      <c r="A486" s="24" t="n"/>
      <c r="B486" s="33" t="n"/>
      <c r="C486" s="23" t="n"/>
      <c r="D486" s="24" t="n"/>
      <c r="E486" s="44" t="n"/>
      <c r="F486" s="44" t="n"/>
      <c r="G486" s="24" t="n"/>
      <c r="H486" s="24" t="n"/>
      <c r="I486" s="24" t="n"/>
      <c r="J486" s="24" t="n"/>
      <c r="K486" s="45" t="n"/>
      <c r="L486" s="45" t="n"/>
      <c r="M486" s="45" t="n"/>
      <c r="N486" s="10" t="n"/>
      <c r="O486" s="10" t="n"/>
      <c r="P486" s="10" t="n"/>
      <c r="Q486" s="10" t="n"/>
      <c r="R486" s="11" t="n"/>
      <c r="S486" s="11" t="n"/>
    </row>
    <row r="487" ht="50.1" customFormat="1" customHeight="1" s="6">
      <c r="A487" s="24" t="n"/>
      <c r="B487" s="33" t="n"/>
      <c r="C487" s="23" t="n"/>
      <c r="D487" s="24" t="n"/>
      <c r="E487" s="44" t="n"/>
      <c r="F487" s="44" t="n"/>
      <c r="G487" s="24" t="n"/>
      <c r="H487" s="24" t="n"/>
      <c r="I487" s="24" t="n"/>
      <c r="J487" s="24" t="n"/>
      <c r="K487" s="45" t="n"/>
      <c r="L487" s="45" t="n"/>
      <c r="M487" s="45" t="n"/>
      <c r="N487" s="10" t="n"/>
      <c r="O487" s="10" t="n"/>
      <c r="P487" s="10" t="n"/>
      <c r="Q487" s="10" t="n"/>
      <c r="R487" s="11" t="n"/>
      <c r="S487" s="11" t="n"/>
    </row>
    <row r="488" ht="50.1" customFormat="1" customHeight="1" s="6">
      <c r="A488" s="24" t="n"/>
      <c r="B488" s="33" t="n"/>
      <c r="C488" s="23" t="n"/>
      <c r="D488" s="24" t="n"/>
      <c r="E488" s="44" t="n"/>
      <c r="F488" s="44" t="n"/>
      <c r="G488" s="24" t="n"/>
      <c r="H488" s="24" t="n"/>
      <c r="I488" s="24" t="n"/>
      <c r="J488" s="24" t="n"/>
      <c r="K488" s="45" t="n"/>
      <c r="L488" s="45" t="n"/>
      <c r="M488" s="45" t="n"/>
      <c r="N488" s="10" t="n"/>
      <c r="O488" s="10" t="n"/>
      <c r="P488" s="10" t="n"/>
      <c r="Q488" s="10" t="n"/>
      <c r="R488" s="11" t="n"/>
      <c r="S488" s="11" t="n"/>
    </row>
    <row r="489" ht="50.1" customFormat="1" customHeight="1" s="6">
      <c r="A489" s="24" t="n"/>
      <c r="B489" s="33" t="n"/>
      <c r="C489" s="23" t="n"/>
      <c r="D489" s="24" t="n"/>
      <c r="E489" s="44" t="n"/>
      <c r="F489" s="44" t="n"/>
      <c r="G489" s="24" t="n"/>
      <c r="H489" s="24" t="n"/>
      <c r="I489" s="24" t="n"/>
      <c r="J489" s="24" t="n"/>
      <c r="K489" s="45" t="n"/>
      <c r="L489" s="45" t="n"/>
      <c r="M489" s="45" t="n"/>
      <c r="N489" s="10" t="n"/>
      <c r="O489" s="10" t="n"/>
      <c r="P489" s="10" t="n"/>
      <c r="Q489" s="10" t="n"/>
      <c r="R489" s="11" t="n"/>
      <c r="S489" s="11" t="n"/>
    </row>
    <row r="490" ht="50.1" customFormat="1" customHeight="1" s="6">
      <c r="A490" s="24" t="n"/>
      <c r="B490" s="33" t="n"/>
      <c r="C490" s="23" t="n"/>
      <c r="D490" s="24" t="n"/>
      <c r="E490" s="44" t="n"/>
      <c r="F490" s="44" t="n"/>
      <c r="G490" s="24" t="n"/>
      <c r="H490" s="24" t="n"/>
      <c r="I490" s="24" t="n"/>
      <c r="J490" s="24" t="n"/>
      <c r="K490" s="45" t="n"/>
      <c r="L490" s="45" t="n"/>
      <c r="M490" s="45" t="n"/>
      <c r="N490" s="10" t="n"/>
      <c r="O490" s="10" t="n"/>
      <c r="P490" s="10" t="n"/>
      <c r="Q490" s="10" t="n"/>
      <c r="R490" s="11" t="n"/>
      <c r="S490" s="11" t="n"/>
    </row>
    <row r="491" ht="50.1" customFormat="1" customHeight="1" s="6">
      <c r="A491" s="24" t="n"/>
      <c r="B491" s="33" t="n"/>
      <c r="C491" s="23" t="n"/>
      <c r="D491" s="24" t="n"/>
      <c r="E491" s="44" t="n"/>
      <c r="F491" s="44" t="n"/>
      <c r="G491" s="24" t="n"/>
      <c r="H491" s="24" t="n"/>
      <c r="I491" s="24" t="n"/>
      <c r="J491" s="24" t="n"/>
      <c r="K491" s="45" t="n"/>
      <c r="L491" s="45" t="n"/>
      <c r="M491" s="45" t="n"/>
      <c r="N491" s="10" t="n"/>
      <c r="O491" s="10" t="n"/>
      <c r="P491" s="10" t="n"/>
      <c r="Q491" s="10" t="n"/>
      <c r="R491" s="11" t="n"/>
      <c r="S491" s="11" t="n"/>
    </row>
    <row r="492" ht="50.1" customFormat="1" customHeight="1" s="6">
      <c r="A492" s="24" t="n"/>
      <c r="B492" s="33" t="n"/>
      <c r="C492" s="23" t="n"/>
      <c r="D492" s="24" t="n"/>
      <c r="E492" s="44" t="n"/>
      <c r="F492" s="44" t="n"/>
      <c r="G492" s="24" t="n"/>
      <c r="H492" s="24" t="n"/>
      <c r="I492" s="24" t="n"/>
      <c r="J492" s="24" t="n"/>
      <c r="K492" s="45" t="n"/>
      <c r="L492" s="45" t="n"/>
      <c r="M492" s="45" t="n"/>
      <c r="N492" s="10" t="n"/>
      <c r="O492" s="10" t="n"/>
      <c r="P492" s="10" t="n"/>
      <c r="Q492" s="10" t="n"/>
      <c r="R492" s="11" t="n"/>
      <c r="S492" s="11" t="n"/>
    </row>
    <row r="493" ht="50.1" customFormat="1" customHeight="1" s="6">
      <c r="A493" s="24" t="n"/>
      <c r="B493" s="33" t="n"/>
      <c r="C493" s="23" t="n"/>
      <c r="D493" s="24" t="n"/>
      <c r="E493" s="44" t="n"/>
      <c r="F493" s="44" t="n"/>
      <c r="G493" s="24" t="n"/>
      <c r="H493" s="24" t="n"/>
      <c r="I493" s="24" t="n"/>
      <c r="J493" s="24" t="n"/>
      <c r="K493" s="45" t="n"/>
      <c r="L493" s="45" t="n"/>
      <c r="M493" s="45" t="n"/>
      <c r="N493" s="10" t="n"/>
      <c r="O493" s="10" t="n"/>
      <c r="P493" s="10" t="n"/>
      <c r="Q493" s="10" t="n"/>
      <c r="R493" s="11" t="n"/>
      <c r="S493" s="11" t="n"/>
    </row>
    <row r="494" ht="50.1" customFormat="1" customHeight="1" s="6">
      <c r="A494" s="24" t="n"/>
      <c r="B494" s="33" t="n"/>
      <c r="C494" s="23" t="n"/>
      <c r="D494" s="24" t="n"/>
      <c r="E494" s="44" t="n"/>
      <c r="F494" s="44" t="n"/>
      <c r="G494" s="24" t="n"/>
      <c r="H494" s="24" t="n"/>
      <c r="I494" s="24" t="n"/>
      <c r="J494" s="24" t="n"/>
      <c r="K494" s="45" t="n"/>
      <c r="L494" s="45" t="n"/>
      <c r="M494" s="45" t="n"/>
      <c r="N494" s="10" t="n"/>
      <c r="O494" s="10" t="n"/>
      <c r="P494" s="10" t="n"/>
      <c r="Q494" s="10" t="n"/>
      <c r="R494" s="11" t="n"/>
      <c r="S494" s="11" t="n"/>
    </row>
    <row r="495" ht="50.1" customFormat="1" customHeight="1" s="6">
      <c r="A495" s="24" t="n"/>
      <c r="B495" s="33" t="n"/>
      <c r="C495" s="23" t="n"/>
      <c r="D495" s="24" t="n"/>
      <c r="E495" s="44" t="n"/>
      <c r="F495" s="44" t="n"/>
      <c r="G495" s="24" t="n"/>
      <c r="H495" s="24" t="n"/>
      <c r="I495" s="24" t="n"/>
      <c r="J495" s="24" t="n"/>
      <c r="K495" s="45" t="n"/>
      <c r="L495" s="45" t="n"/>
      <c r="M495" s="45" t="n"/>
      <c r="N495" s="10" t="n"/>
      <c r="O495" s="10" t="n"/>
      <c r="P495" s="10" t="n"/>
      <c r="Q495" s="10" t="n"/>
      <c r="R495" s="11" t="n"/>
      <c r="S495" s="11" t="n"/>
    </row>
    <row r="496" ht="50.1" customFormat="1" customHeight="1" s="6">
      <c r="A496" s="24" t="n"/>
      <c r="B496" s="33" t="n"/>
      <c r="C496" s="23" t="n"/>
      <c r="D496" s="24" t="n"/>
      <c r="E496" s="44" t="n"/>
      <c r="F496" s="44" t="n"/>
      <c r="G496" s="24" t="n"/>
      <c r="H496" s="24" t="n"/>
      <c r="I496" s="24" t="n"/>
      <c r="J496" s="24" t="n"/>
      <c r="K496" s="45" t="n"/>
      <c r="L496" s="45" t="n"/>
      <c r="M496" s="45" t="n"/>
      <c r="N496" s="10" t="n"/>
      <c r="O496" s="10" t="n"/>
      <c r="P496" s="10" t="n"/>
      <c r="Q496" s="10" t="n"/>
      <c r="R496" s="11" t="n"/>
      <c r="S496" s="11" t="n"/>
    </row>
    <row r="497" ht="50.1" customFormat="1" customHeight="1" s="6">
      <c r="A497" s="24" t="n"/>
      <c r="B497" s="33" t="n"/>
      <c r="C497" s="23" t="n"/>
      <c r="D497" s="24" t="n"/>
      <c r="E497" s="44" t="n"/>
      <c r="F497" s="44" t="n"/>
      <c r="G497" s="24" t="n"/>
      <c r="H497" s="24" t="n"/>
      <c r="I497" s="24" t="n"/>
      <c r="J497" s="24" t="n"/>
      <c r="K497" s="45" t="n"/>
      <c r="L497" s="45" t="n"/>
      <c r="M497" s="45" t="n"/>
      <c r="N497" s="10" t="n"/>
      <c r="O497" s="10" t="n"/>
      <c r="P497" s="10" t="n"/>
      <c r="Q497" s="10" t="n"/>
      <c r="R497" s="11" t="n"/>
      <c r="S497" s="11" t="n"/>
    </row>
    <row r="498" ht="50.1" customFormat="1" customHeight="1" s="6">
      <c r="A498" s="24" t="n"/>
      <c r="B498" s="33" t="n"/>
      <c r="C498" s="23" t="n"/>
      <c r="D498" s="24" t="n"/>
      <c r="E498" s="44" t="n"/>
      <c r="F498" s="44" t="n"/>
      <c r="G498" s="24" t="n"/>
      <c r="H498" s="24" t="n"/>
      <c r="I498" s="24" t="n"/>
      <c r="J498" s="24" t="n"/>
      <c r="K498" s="45" t="n"/>
      <c r="L498" s="45" t="n"/>
      <c r="M498" s="45" t="n"/>
      <c r="N498" s="10" t="n"/>
      <c r="O498" s="10" t="n"/>
      <c r="P498" s="10" t="n"/>
      <c r="Q498" s="10" t="n"/>
      <c r="R498" s="11" t="n"/>
      <c r="S498" s="11" t="n"/>
    </row>
    <row r="499" ht="50.1" customFormat="1" customHeight="1" s="6">
      <c r="A499" s="24" t="n"/>
      <c r="B499" s="33" t="n"/>
      <c r="C499" s="23" t="n"/>
      <c r="D499" s="24" t="n"/>
      <c r="E499" s="44" t="n"/>
      <c r="F499" s="44" t="n"/>
      <c r="G499" s="24" t="n"/>
      <c r="H499" s="24" t="n"/>
      <c r="I499" s="24" t="n"/>
      <c r="J499" s="24" t="n"/>
      <c r="K499" s="45" t="n"/>
      <c r="L499" s="45" t="n"/>
      <c r="M499" s="45" t="n"/>
      <c r="N499" s="10" t="n"/>
      <c r="O499" s="10" t="n"/>
      <c r="P499" s="10" t="n"/>
      <c r="Q499" s="10" t="n"/>
      <c r="R499" s="11" t="n"/>
      <c r="S499" s="11" t="n"/>
    </row>
    <row r="500" ht="50.1" customFormat="1" customHeight="1" s="6">
      <c r="A500" s="24" t="n"/>
      <c r="B500" s="33" t="n"/>
      <c r="C500" s="23" t="n"/>
      <c r="D500" s="24" t="n"/>
      <c r="E500" s="44" t="n"/>
      <c r="F500" s="44" t="n"/>
      <c r="G500" s="24" t="n"/>
      <c r="H500" s="24" t="n"/>
      <c r="I500" s="24" t="n"/>
      <c r="J500" s="24" t="n"/>
      <c r="K500" s="45" t="n"/>
      <c r="L500" s="45" t="n"/>
      <c r="M500" s="45" t="n"/>
      <c r="N500" s="10" t="n"/>
      <c r="O500" s="10" t="n"/>
      <c r="P500" s="10" t="n"/>
      <c r="Q500" s="10" t="n"/>
      <c r="R500" s="11" t="n"/>
      <c r="S500" s="11" t="n"/>
    </row>
    <row r="501" ht="50.1" customFormat="1" customHeight="1" s="6">
      <c r="A501" s="24" t="n"/>
      <c r="B501" s="33" t="n"/>
      <c r="C501" s="23" t="n"/>
      <c r="D501" s="24" t="n"/>
      <c r="E501" s="44" t="n"/>
      <c r="F501" s="44" t="n"/>
      <c r="G501" s="24" t="n"/>
      <c r="H501" s="24" t="n"/>
      <c r="I501" s="24" t="n"/>
      <c r="J501" s="24" t="n"/>
      <c r="K501" s="45" t="n"/>
      <c r="L501" s="45" t="n"/>
      <c r="M501" s="45" t="n"/>
      <c r="N501" s="10" t="n"/>
      <c r="O501" s="10" t="n"/>
      <c r="P501" s="10" t="n"/>
      <c r="Q501" s="10" t="n"/>
      <c r="R501" s="11" t="n"/>
      <c r="S501" s="11" t="n"/>
    </row>
    <row r="502" ht="50.1" customFormat="1" customHeight="1" s="6">
      <c r="A502" s="24" t="n"/>
      <c r="B502" s="33" t="n"/>
      <c r="C502" s="23" t="n"/>
      <c r="D502" s="24" t="n"/>
      <c r="E502" s="44" t="n"/>
      <c r="F502" s="44" t="n"/>
      <c r="G502" s="24" t="n"/>
      <c r="H502" s="24" t="n"/>
      <c r="I502" s="24" t="n"/>
      <c r="J502" s="24" t="n"/>
      <c r="K502" s="45" t="n"/>
      <c r="L502" s="45" t="n"/>
      <c r="M502" s="45" t="n"/>
      <c r="N502" s="10" t="n"/>
      <c r="O502" s="10" t="n"/>
      <c r="P502" s="10" t="n"/>
      <c r="Q502" s="10" t="n"/>
      <c r="R502" s="11" t="n"/>
      <c r="S502" s="11" t="n"/>
    </row>
    <row r="503" ht="50.1" customFormat="1" customHeight="1" s="6">
      <c r="A503" s="24" t="n"/>
      <c r="B503" s="33" t="n"/>
      <c r="C503" s="23" t="n"/>
      <c r="D503" s="24" t="n"/>
      <c r="E503" s="44" t="n"/>
      <c r="F503" s="44" t="n"/>
      <c r="G503" s="24" t="n"/>
      <c r="H503" s="24" t="n"/>
      <c r="I503" s="24" t="n"/>
      <c r="J503" s="24" t="n"/>
      <c r="K503" s="45" t="n"/>
      <c r="L503" s="45" t="n"/>
      <c r="M503" s="45" t="n"/>
      <c r="N503" s="10" t="n"/>
      <c r="O503" s="10" t="n"/>
      <c r="P503" s="10" t="n"/>
      <c r="Q503" s="10" t="n"/>
      <c r="R503" s="11" t="n"/>
      <c r="S503" s="11" t="n"/>
    </row>
    <row r="504" ht="50.1" customFormat="1" customHeight="1" s="6">
      <c r="A504" s="24" t="n"/>
      <c r="B504" s="33" t="n"/>
      <c r="C504" s="23" t="n"/>
      <c r="D504" s="24" t="n"/>
      <c r="E504" s="44" t="n"/>
      <c r="F504" s="44" t="n"/>
      <c r="G504" s="24" t="n"/>
      <c r="H504" s="24" t="n"/>
      <c r="I504" s="24" t="n"/>
      <c r="J504" s="24" t="n"/>
      <c r="K504" s="45" t="n"/>
      <c r="L504" s="45" t="n"/>
      <c r="M504" s="45" t="n"/>
      <c r="N504" s="10" t="n"/>
      <c r="O504" s="10" t="n"/>
      <c r="P504" s="10" t="n"/>
      <c r="Q504" s="10" t="n"/>
      <c r="R504" s="11" t="n"/>
      <c r="S504" s="11" t="n"/>
    </row>
    <row r="505" ht="50.1" customFormat="1" customHeight="1" s="6">
      <c r="A505" s="24" t="n"/>
      <c r="B505" s="33" t="n"/>
      <c r="C505" s="23" t="n"/>
      <c r="D505" s="24" t="n"/>
      <c r="E505" s="44" t="n"/>
      <c r="F505" s="44" t="n"/>
      <c r="G505" s="24" t="n"/>
      <c r="H505" s="24" t="n"/>
      <c r="I505" s="24" t="n"/>
      <c r="J505" s="24" t="n"/>
      <c r="K505" s="45" t="n"/>
      <c r="L505" s="45" t="n"/>
      <c r="M505" s="45" t="n"/>
      <c r="N505" s="10" t="n"/>
      <c r="O505" s="10" t="n"/>
      <c r="P505" s="10" t="n"/>
      <c r="Q505" s="10" t="n"/>
      <c r="R505" s="11" t="n"/>
      <c r="S505" s="11" t="n"/>
    </row>
    <row r="506" ht="50.1" customFormat="1" customHeight="1" s="6">
      <c r="A506" s="24" t="n"/>
      <c r="B506" s="33" t="n"/>
      <c r="C506" s="23" t="n"/>
      <c r="D506" s="24" t="n"/>
      <c r="E506" s="44" t="n"/>
      <c r="F506" s="44" t="n"/>
      <c r="G506" s="24" t="n"/>
      <c r="H506" s="24" t="n"/>
      <c r="I506" s="24" t="n"/>
      <c r="J506" s="24" t="n"/>
      <c r="K506" s="45" t="n"/>
      <c r="L506" s="45" t="n"/>
      <c r="M506" s="45" t="n"/>
      <c r="N506" s="10" t="n"/>
      <c r="O506" s="10" t="n"/>
      <c r="P506" s="10" t="n"/>
      <c r="Q506" s="10" t="n"/>
      <c r="R506" s="11" t="n"/>
      <c r="S506" s="11" t="n"/>
    </row>
    <row r="507" ht="50.1" customFormat="1" customHeight="1" s="6">
      <c r="A507" s="24" t="n"/>
      <c r="B507" s="33" t="n"/>
      <c r="C507" s="23" t="n"/>
      <c r="D507" s="24" t="n"/>
      <c r="E507" s="44" t="n"/>
      <c r="F507" s="44" t="n"/>
      <c r="G507" s="24" t="n"/>
      <c r="H507" s="24" t="n"/>
      <c r="I507" s="24" t="n"/>
      <c r="J507" s="24" t="n"/>
      <c r="K507" s="45" t="n"/>
      <c r="L507" s="45" t="n"/>
      <c r="M507" s="45" t="n"/>
      <c r="N507" s="10" t="n"/>
      <c r="O507" s="10" t="n"/>
      <c r="P507" s="10" t="n"/>
      <c r="Q507" s="10" t="n"/>
      <c r="R507" s="11" t="n"/>
      <c r="S507" s="11" t="n"/>
    </row>
    <row r="508" ht="50.1" customFormat="1" customHeight="1" s="6">
      <c r="A508" s="24" t="n"/>
      <c r="B508" s="33" t="n"/>
      <c r="C508" s="23" t="n"/>
      <c r="D508" s="24" t="n"/>
      <c r="E508" s="44" t="n"/>
      <c r="F508" s="44" t="n"/>
      <c r="G508" s="24" t="n"/>
      <c r="H508" s="24" t="n"/>
      <c r="I508" s="24" t="n"/>
      <c r="J508" s="24" t="n"/>
      <c r="K508" s="45" t="n"/>
      <c r="L508" s="45" t="n"/>
      <c r="M508" s="45" t="n"/>
      <c r="N508" s="10" t="n"/>
      <c r="O508" s="10" t="n"/>
      <c r="P508" s="10" t="n"/>
      <c r="Q508" s="10" t="n"/>
      <c r="R508" s="11" t="n"/>
      <c r="S508" s="11" t="n"/>
    </row>
    <row r="509" ht="50.1" customFormat="1" customHeight="1" s="6">
      <c r="A509" s="24" t="n"/>
      <c r="B509" s="33" t="n"/>
      <c r="C509" s="23" t="n"/>
      <c r="D509" s="24" t="n"/>
      <c r="E509" s="44" t="n"/>
      <c r="F509" s="44" t="n"/>
      <c r="G509" s="24" t="n"/>
      <c r="H509" s="24" t="n"/>
      <c r="I509" s="24" t="n"/>
      <c r="J509" s="24" t="n"/>
      <c r="K509" s="45" t="n"/>
      <c r="L509" s="45" t="n"/>
      <c r="M509" s="45" t="n"/>
      <c r="N509" s="10" t="n"/>
      <c r="O509" s="10" t="n"/>
      <c r="P509" s="10" t="n"/>
      <c r="Q509" s="10" t="n"/>
      <c r="R509" s="11" t="n"/>
      <c r="S509" s="11" t="n"/>
    </row>
    <row r="510" ht="50.1" customFormat="1" customHeight="1" s="6">
      <c r="A510" s="24" t="n"/>
      <c r="B510" s="33" t="n"/>
      <c r="C510" s="23" t="n"/>
      <c r="D510" s="24" t="n"/>
      <c r="E510" s="44" t="n"/>
      <c r="F510" s="44" t="n"/>
      <c r="G510" s="24" t="n"/>
      <c r="H510" s="24" t="n"/>
      <c r="I510" s="24" t="n"/>
      <c r="J510" s="24" t="n"/>
      <c r="K510" s="45" t="n"/>
      <c r="L510" s="45" t="n"/>
      <c r="M510" s="45" t="n"/>
      <c r="N510" s="10" t="n"/>
      <c r="O510" s="10" t="n"/>
      <c r="P510" s="10" t="n"/>
      <c r="Q510" s="10" t="n"/>
      <c r="R510" s="11" t="n"/>
      <c r="S510" s="11" t="n"/>
    </row>
    <row r="511" ht="50.1" customFormat="1" customHeight="1" s="6">
      <c r="A511" s="24" t="n"/>
      <c r="B511" s="33" t="n"/>
      <c r="C511" s="23" t="n"/>
      <c r="D511" s="24" t="n"/>
      <c r="E511" s="44" t="n"/>
      <c r="F511" s="44" t="n"/>
      <c r="G511" s="24" t="n"/>
      <c r="H511" s="24" t="n"/>
      <c r="I511" s="24" t="n"/>
      <c r="J511" s="24" t="n"/>
      <c r="K511" s="45" t="n"/>
      <c r="L511" s="45" t="n"/>
      <c r="M511" s="45" t="n"/>
      <c r="N511" s="10" t="n"/>
      <c r="O511" s="10" t="n"/>
      <c r="P511" s="10" t="n"/>
      <c r="Q511" s="10" t="n"/>
      <c r="R511" s="11" t="n"/>
      <c r="S511" s="11" t="n"/>
    </row>
    <row r="512" ht="50.1" customFormat="1" customHeight="1" s="6">
      <c r="A512" s="24" t="n"/>
      <c r="B512" s="33" t="n"/>
      <c r="C512" s="23" t="n"/>
      <c r="D512" s="24" t="n"/>
      <c r="E512" s="44" t="n"/>
      <c r="F512" s="44" t="n"/>
      <c r="G512" s="24" t="n"/>
      <c r="H512" s="24" t="n"/>
      <c r="I512" s="24" t="n"/>
      <c r="J512" s="24" t="n"/>
      <c r="K512" s="45" t="n"/>
      <c r="L512" s="45" t="n"/>
      <c r="M512" s="45" t="n"/>
      <c r="N512" s="10" t="n"/>
      <c r="O512" s="10" t="n"/>
      <c r="P512" s="10" t="n"/>
      <c r="Q512" s="10" t="n"/>
      <c r="R512" s="11" t="n"/>
      <c r="S512" s="11" t="n"/>
    </row>
    <row r="513" ht="50.1" customFormat="1" customHeight="1" s="6">
      <c r="A513" s="24" t="n"/>
      <c r="B513" s="33" t="n"/>
      <c r="C513" s="23" t="n"/>
      <c r="D513" s="24" t="n"/>
      <c r="E513" s="44" t="n"/>
      <c r="F513" s="44" t="n"/>
      <c r="G513" s="24" t="n"/>
      <c r="H513" s="24" t="n"/>
      <c r="I513" s="24" t="n"/>
      <c r="J513" s="24" t="n"/>
      <c r="K513" s="45" t="n"/>
      <c r="L513" s="45" t="n"/>
      <c r="M513" s="45" t="n"/>
      <c r="N513" s="10" t="n"/>
      <c r="O513" s="10" t="n"/>
      <c r="P513" s="10" t="n"/>
      <c r="Q513" s="10" t="n"/>
      <c r="R513" s="11" t="n"/>
      <c r="S513" s="11" t="n"/>
    </row>
    <row r="514" ht="50.1" customFormat="1" customHeight="1" s="6">
      <c r="A514" s="24" t="n"/>
      <c r="B514" s="33" t="n"/>
      <c r="C514" s="23" t="n"/>
      <c r="D514" s="24" t="n"/>
      <c r="E514" s="44" t="n"/>
      <c r="F514" s="44" t="n"/>
      <c r="G514" s="24" t="n"/>
      <c r="H514" s="24" t="n"/>
      <c r="I514" s="24" t="n"/>
      <c r="J514" s="24" t="n"/>
      <c r="K514" s="45" t="n"/>
      <c r="L514" s="45" t="n"/>
      <c r="M514" s="45" t="n"/>
      <c r="N514" s="10" t="n"/>
      <c r="O514" s="10" t="n"/>
      <c r="P514" s="10" t="n"/>
      <c r="Q514" s="10" t="n"/>
      <c r="R514" s="11" t="n"/>
      <c r="S514" s="11" t="n"/>
    </row>
    <row r="515" ht="50.1" customFormat="1" customHeight="1" s="6">
      <c r="A515" s="24" t="n"/>
      <c r="B515" s="33" t="n"/>
      <c r="C515" s="23" t="n"/>
      <c r="D515" s="24" t="n"/>
      <c r="E515" s="44" t="n"/>
      <c r="F515" s="44" t="n"/>
      <c r="G515" s="24" t="n"/>
      <c r="H515" s="24" t="n"/>
      <c r="I515" s="24" t="n"/>
      <c r="J515" s="24" t="n"/>
      <c r="K515" s="45" t="n"/>
      <c r="L515" s="45" t="n"/>
      <c r="M515" s="45" t="n"/>
      <c r="N515" s="10" t="n"/>
      <c r="O515" s="10" t="n"/>
      <c r="P515" s="10" t="n"/>
      <c r="Q515" s="10" t="n"/>
      <c r="R515" s="11" t="n"/>
      <c r="S515" s="11" t="n"/>
    </row>
    <row r="516" ht="50.1" customFormat="1" customHeight="1" s="6">
      <c r="A516" s="24" t="n"/>
      <c r="B516" s="33" t="n"/>
      <c r="C516" s="23" t="n"/>
      <c r="D516" s="24" t="n"/>
      <c r="E516" s="44" t="n"/>
      <c r="F516" s="44" t="n"/>
      <c r="G516" s="24" t="n"/>
      <c r="H516" s="24" t="n"/>
      <c r="I516" s="24" t="n"/>
      <c r="J516" s="24" t="n"/>
      <c r="K516" s="45" t="n"/>
      <c r="L516" s="45" t="n"/>
      <c r="M516" s="45" t="n"/>
      <c r="N516" s="10" t="n"/>
      <c r="O516" s="10" t="n"/>
      <c r="P516" s="10" t="n"/>
      <c r="Q516" s="10" t="n"/>
      <c r="R516" s="11" t="n"/>
      <c r="S516" s="11" t="n"/>
    </row>
    <row r="517" ht="50.1" customFormat="1" customHeight="1" s="6">
      <c r="A517" s="24" t="n"/>
      <c r="B517" s="33" t="n"/>
      <c r="C517" s="23" t="n"/>
      <c r="D517" s="24" t="n"/>
      <c r="E517" s="44" t="n"/>
      <c r="F517" s="44" t="n"/>
      <c r="G517" s="24" t="n"/>
      <c r="H517" s="24" t="n"/>
      <c r="I517" s="24" t="n"/>
      <c r="J517" s="24" t="n"/>
      <c r="K517" s="45" t="n"/>
      <c r="L517" s="45" t="n"/>
      <c r="M517" s="45" t="n"/>
      <c r="N517" s="10" t="n"/>
      <c r="O517" s="10" t="n"/>
      <c r="P517" s="10" t="n"/>
      <c r="Q517" s="10" t="n"/>
      <c r="R517" s="11" t="n"/>
      <c r="S517" s="11" t="n"/>
    </row>
    <row r="518" ht="50.1" customFormat="1" customHeight="1" s="6">
      <c r="A518" s="24" t="n"/>
      <c r="B518" s="33" t="n"/>
      <c r="C518" s="23" t="n"/>
      <c r="D518" s="24" t="n"/>
      <c r="E518" s="44" t="n"/>
      <c r="F518" s="44" t="n"/>
      <c r="G518" s="24" t="n"/>
      <c r="H518" s="24" t="n"/>
      <c r="I518" s="24" t="n"/>
      <c r="J518" s="24" t="n"/>
      <c r="K518" s="45" t="n"/>
      <c r="L518" s="45" t="n"/>
      <c r="M518" s="45" t="n"/>
      <c r="N518" s="10" t="n"/>
      <c r="O518" s="10" t="n"/>
      <c r="P518" s="10" t="n"/>
      <c r="Q518" s="10" t="n"/>
      <c r="R518" s="11" t="n"/>
      <c r="S518" s="11" t="n"/>
    </row>
    <row r="519" ht="50.1" customFormat="1" customHeight="1" s="6">
      <c r="A519" s="24" t="n"/>
      <c r="B519" s="33" t="n"/>
      <c r="C519" s="23" t="n"/>
      <c r="D519" s="24" t="n"/>
      <c r="E519" s="44" t="n"/>
      <c r="F519" s="44" t="n"/>
      <c r="G519" s="24" t="n"/>
      <c r="H519" s="24" t="n"/>
      <c r="I519" s="24" t="n"/>
      <c r="J519" s="24" t="n"/>
      <c r="K519" s="45" t="n"/>
      <c r="L519" s="45" t="n"/>
      <c r="M519" s="45" t="n"/>
      <c r="N519" s="10" t="n"/>
      <c r="O519" s="10" t="n"/>
      <c r="P519" s="10" t="n"/>
      <c r="Q519" s="10" t="n"/>
      <c r="R519" s="11" t="n"/>
      <c r="S519" s="11" t="n"/>
      <c r="AA519" s="5" t="n"/>
    </row>
    <row r="520" ht="50.1" customFormat="1" customHeight="1" s="6">
      <c r="A520" s="24" t="n"/>
      <c r="B520" s="33" t="n"/>
      <c r="C520" s="23" t="n"/>
      <c r="D520" s="24" t="n"/>
      <c r="E520" s="44" t="n"/>
      <c r="F520" s="44" t="n"/>
      <c r="G520" s="24" t="n"/>
      <c r="H520" s="24" t="n"/>
      <c r="I520" s="24" t="n"/>
      <c r="J520" s="24" t="n"/>
      <c r="K520" s="45" t="n"/>
      <c r="L520" s="45" t="n"/>
      <c r="M520" s="45" t="n"/>
      <c r="N520" s="10" t="n"/>
      <c r="O520" s="10" t="n"/>
      <c r="P520" s="10" t="n"/>
      <c r="Q520" s="10" t="n"/>
      <c r="R520" s="11" t="n"/>
      <c r="S520" s="11" t="n"/>
      <c r="AA520" s="5" t="n"/>
    </row>
    <row r="521" ht="50.1" customFormat="1" customHeight="1" s="6">
      <c r="A521" s="24" t="n"/>
      <c r="B521" s="33" t="n"/>
      <c r="C521" s="23" t="n"/>
      <c r="D521" s="24" t="n"/>
      <c r="E521" s="44" t="n"/>
      <c r="F521" s="44" t="n"/>
      <c r="G521" s="24" t="n"/>
      <c r="H521" s="24" t="n"/>
      <c r="I521" s="24" t="n"/>
      <c r="J521" s="24" t="n"/>
      <c r="K521" s="45" t="n"/>
      <c r="L521" s="45" t="n"/>
      <c r="M521" s="45" t="n"/>
      <c r="N521" s="10" t="n"/>
      <c r="O521" s="10" t="n"/>
      <c r="P521" s="10" t="n"/>
      <c r="Q521" s="10" t="n"/>
      <c r="R521" s="11" t="n"/>
      <c r="S521" s="11" t="n"/>
      <c r="AA521" s="5" t="n"/>
    </row>
    <row r="522" ht="50.1" customFormat="1" customHeight="1" s="6">
      <c r="A522" s="24" t="n"/>
      <c r="B522" s="33" t="n"/>
      <c r="C522" s="23" t="n"/>
      <c r="D522" s="24" t="n"/>
      <c r="E522" s="44" t="n"/>
      <c r="F522" s="44" t="n"/>
      <c r="G522" s="24" t="n"/>
      <c r="H522" s="24" t="n"/>
      <c r="I522" s="24" t="n"/>
      <c r="J522" s="24" t="n"/>
      <c r="K522" s="45" t="n"/>
      <c r="L522" s="45" t="n"/>
      <c r="M522" s="45" t="n"/>
      <c r="N522" s="10" t="n"/>
      <c r="O522" s="10" t="n"/>
      <c r="P522" s="10" t="n"/>
      <c r="Q522" s="10" t="n"/>
      <c r="R522" s="11" t="n"/>
      <c r="S522" s="11" t="n"/>
      <c r="AA522" s="5" t="n"/>
    </row>
    <row r="523" ht="50.1" customFormat="1" customHeight="1" s="6">
      <c r="A523" s="24" t="n"/>
      <c r="B523" s="33" t="n"/>
      <c r="C523" s="23" t="n"/>
      <c r="D523" s="24" t="n"/>
      <c r="E523" s="44" t="n"/>
      <c r="F523" s="44" t="n"/>
      <c r="G523" s="24" t="n"/>
      <c r="H523" s="24" t="n"/>
      <c r="I523" s="24" t="n"/>
      <c r="J523" s="24" t="n"/>
      <c r="K523" s="45" t="n"/>
      <c r="L523" s="45" t="n"/>
      <c r="M523" s="45" t="n"/>
      <c r="N523" s="10" t="n"/>
      <c r="O523" s="10" t="n"/>
      <c r="P523" s="10" t="n"/>
      <c r="Q523" s="10" t="n"/>
      <c r="R523" s="11" t="n"/>
      <c r="S523" s="11" t="n"/>
      <c r="AA523" s="5" t="n"/>
    </row>
    <row r="524" ht="50.1" customFormat="1" customHeight="1" s="6">
      <c r="A524" s="24" t="n"/>
      <c r="B524" s="33" t="n"/>
      <c r="C524" s="23" t="n"/>
      <c r="D524" s="24" t="n"/>
      <c r="E524" s="44" t="n"/>
      <c r="F524" s="44" t="n"/>
      <c r="G524" s="24" t="n"/>
      <c r="H524" s="24" t="n"/>
      <c r="I524" s="24" t="n"/>
      <c r="J524" s="24" t="n"/>
      <c r="K524" s="45" t="n"/>
      <c r="L524" s="45" t="n"/>
      <c r="M524" s="45" t="n"/>
      <c r="N524" s="10" t="n"/>
      <c r="O524" s="10" t="n"/>
      <c r="P524" s="10" t="n"/>
      <c r="Q524" s="10" t="n"/>
      <c r="R524" s="11" t="n"/>
      <c r="S524" s="11" t="n"/>
    </row>
    <row r="525" ht="77.25" customHeight="1">
      <c r="A525" s="61" t="n"/>
      <c r="B525" s="62" t="n"/>
      <c r="C525" s="63" t="n"/>
      <c r="D525" s="34" t="n"/>
      <c r="E525" s="62" t="n"/>
      <c r="F525" s="34" t="n"/>
      <c r="G525" s="34" t="n"/>
      <c r="H525" s="34" t="n"/>
      <c r="I525" s="56" t="n"/>
      <c r="J525" s="62" t="n"/>
      <c r="K525" s="34" t="n"/>
      <c r="L525" s="34" t="n"/>
      <c r="M525" s="34" t="n"/>
      <c r="N525" s="54" t="n"/>
      <c r="O525" s="10" t="n"/>
      <c r="P525" s="10" t="n"/>
      <c r="Q525" s="54" t="n"/>
      <c r="R525" s="53" t="n"/>
      <c r="S525" s="53" t="n"/>
    </row>
  </sheetData>
  <autoFilter ref="A3:S524">
    <sortState ref="A4:S524">
      <sortCondition ref="O3:O524"/>
    </sortState>
  </autoFilter>
  <mergeCells count="1">
    <mergeCell ref="A525:C525"/>
  </mergeCells>
  <pageMargins left="0.511811024" right="0.511811024" top="0.787401575" bottom="0.787401575" header="0.31496062" footer="0.31496062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S675"/>
  <sheetViews>
    <sheetView tabSelected="1" topLeftCell="D1" zoomScale="70" zoomScaleNormal="70" workbookViewId="0">
      <pane ySplit="3" topLeftCell="A4" activePane="bottomLeft" state="frozen"/>
      <selection activeCell="H4" sqref="H4"/>
      <selection pane="bottomLeft" activeCell="A153" sqref="A4:L153"/>
    </sheetView>
  </sheetViews>
  <sheetFormatPr baseColWidth="8" defaultRowHeight="15" customHeight="1"/>
  <cols>
    <col width="13.6640625" customWidth="1" min="1" max="1"/>
    <col width="87.109375" customWidth="1" min="2" max="2"/>
    <col width="90.44140625" customWidth="1" min="3" max="3"/>
    <col width="13.6640625" customWidth="1" min="4" max="5"/>
    <col width="21.33203125" bestFit="1" customWidth="1" min="6" max="6"/>
    <col width="19.5546875" bestFit="1" customWidth="1" style="7" min="7" max="7"/>
    <col width="19.5546875" customWidth="1" style="7" min="8" max="8"/>
    <col width="17.33203125" customWidth="1" min="9" max="9"/>
    <col width="13.6640625" customWidth="1" min="10" max="10"/>
    <col width="13.6640625" customWidth="1" style="8" min="11" max="11"/>
    <col width="17.88671875" customWidth="1" style="8" min="12" max="13"/>
    <col width="13.6640625" customWidth="1" style="9" min="14" max="14"/>
    <col width="15.6640625" customWidth="1" style="9" min="15" max="15"/>
    <col width="19.88671875" customWidth="1" style="9" min="16" max="16"/>
    <col width="15.6640625" customWidth="1" style="9" min="17" max="17"/>
    <col width="16.5546875" customWidth="1" min="18" max="18"/>
    <col width="15" customWidth="1" min="19" max="19"/>
  </cols>
  <sheetData>
    <row r="1" ht="30" customHeight="1">
      <c r="A1" s="15" t="inlineStr">
        <is>
          <t>CONTROLE DE PEÇAS</t>
        </is>
      </c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6" t="n"/>
      <c r="L1" s="16" t="n"/>
      <c r="M1" s="16" t="n"/>
      <c r="N1" s="16" t="n"/>
      <c r="O1" s="16" t="n"/>
      <c r="P1" s="16" t="n"/>
      <c r="Q1" s="16" t="n"/>
      <c r="R1" s="16" t="n"/>
      <c r="S1" s="16" t="n"/>
    </row>
    <row r="2" ht="30" customHeight="1" thickBot="1">
      <c r="A2" s="13" t="inlineStr">
        <is>
          <t>OBRA:</t>
        </is>
      </c>
      <c r="B2" s="14" t="inlineStr">
        <is>
          <t>CROMA</t>
        </is>
      </c>
      <c r="C2" s="14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14" t="n"/>
      <c r="P2" s="14" t="n"/>
      <c r="Q2" s="14" t="n"/>
      <c r="R2" s="14" t="n"/>
      <c r="S2" s="14" t="n"/>
    </row>
    <row r="3" ht="60" customFormat="1" customHeight="1" s="5">
      <c r="A3" s="12" t="inlineStr">
        <is>
          <t>TIPO DE PEÇA</t>
        </is>
      </c>
      <c r="B3" s="1" t="inlineStr">
        <is>
          <t>TÍTULO DA PEÇA</t>
        </is>
      </c>
      <c r="C3" s="1" t="inlineStr">
        <is>
          <t>NOME DESENHO</t>
        </is>
      </c>
      <c r="D3" s="1" t="inlineStr">
        <is>
          <t>QUANTIDADE</t>
        </is>
      </c>
      <c r="E3" s="1" t="inlineStr">
        <is>
          <t>SEÇÃO</t>
        </is>
      </c>
      <c r="F3" s="1" t="inlineStr">
        <is>
          <t>COMPRIMENTO (cm)</t>
        </is>
      </c>
      <c r="G3" s="2" t="inlineStr">
        <is>
          <t>VOLUME DE CONCRETO (m³)</t>
        </is>
      </c>
      <c r="H3" s="2" t="inlineStr">
        <is>
          <t>VOLUME DE CONCRETO TOTAL(m³)</t>
        </is>
      </c>
      <c r="I3" s="1" t="inlineStr">
        <is>
          <t>fck (Mpa)</t>
        </is>
      </c>
      <c r="J3" s="1" t="inlineStr">
        <is>
          <t>fcj (Mpa)</t>
        </is>
      </c>
      <c r="K3" s="3" t="inlineStr">
        <is>
          <t>PESO AÇO FROUXO (kg)</t>
        </is>
      </c>
      <c r="L3" s="3" t="inlineStr">
        <is>
          <t>PESO AÇO PROTENDIDO (kg)</t>
        </is>
      </c>
      <c r="M3" s="3" t="inlineStr">
        <is>
          <t>PESO AÇO CONSOLO (kg)</t>
        </is>
      </c>
      <c r="N3" s="4" t="inlineStr">
        <is>
          <t>PESO TOTAL UNITÁRIO (kg)</t>
        </is>
      </c>
      <c r="O3" s="4" t="inlineStr">
        <is>
          <t>TAXA AÇO FROUXO (kg/m³)</t>
        </is>
      </c>
      <c r="P3" s="4" t="inlineStr">
        <is>
          <t>TAXA AÇO PROTENDIDO (kg/m³)</t>
        </is>
      </c>
      <c r="Q3" s="4" t="inlineStr">
        <is>
          <t>PESO TOTAL (t)</t>
        </is>
      </c>
      <c r="R3" s="3" t="inlineStr">
        <is>
          <t>PESO TOTAL AÇO FROUXO (t)</t>
        </is>
      </c>
      <c r="S3" s="3" t="inlineStr">
        <is>
          <t>PESO TOTAL AÇO PROTENDIDO (t)</t>
        </is>
      </c>
    </row>
    <row r="4" ht="46.5" customHeight="1">
      <c r="A4" s="25" t="inlineStr">
        <is>
          <t>LAJE</t>
        </is>
      </c>
      <c r="B4" s="25" t="inlineStr">
        <is>
          <t>L-1000</t>
        </is>
      </c>
      <c r="C4" s="25" t="inlineStr">
        <is>
          <t>L1000-FORMA E ARMAÇÃO-R00</t>
        </is>
      </c>
      <c r="D4" s="25" t="n">
        <v>1</v>
      </c>
      <c r="E4" s="25" t="inlineStr">
        <is>
          <t>16x125</t>
        </is>
      </c>
      <c r="F4" s="25" t="n">
        <v>635.5</v>
      </c>
      <c r="G4" s="25" t="n">
        <v>0.76</v>
      </c>
      <c r="H4" s="25">
        <f>G4*D4</f>
        <v/>
      </c>
      <c r="I4" s="25" t="n">
        <v>45</v>
      </c>
      <c r="J4" s="25" t="n">
        <v>31.5</v>
      </c>
      <c r="K4" s="37" t="n">
        <v>0</v>
      </c>
      <c r="L4" s="37" t="n">
        <v>19.62</v>
      </c>
      <c r="M4" s="37" t="n"/>
      <c r="N4" s="10">
        <f>G4*2400+K4+L4+M4</f>
        <v/>
      </c>
      <c r="O4" s="10">
        <f>(K4+M4)/G4</f>
        <v/>
      </c>
      <c r="P4" s="10">
        <f>L4/G4</f>
        <v/>
      </c>
      <c r="Q4" s="10">
        <f>N4*D4/1000</f>
        <v/>
      </c>
      <c r="R4" s="11">
        <f>K4*D4/1000</f>
        <v/>
      </c>
      <c r="S4" s="11">
        <f>L4*D4/1000</f>
        <v/>
      </c>
    </row>
    <row r="5" ht="46.5" customHeight="1">
      <c r="A5" s="25" t="inlineStr">
        <is>
          <t>LAJE</t>
        </is>
      </c>
      <c r="B5" s="25" t="inlineStr">
        <is>
          <t>L-1001</t>
        </is>
      </c>
      <c r="C5" s="25" t="inlineStr">
        <is>
          <t>L1001-FORMA E ARMAÇÃO-R00</t>
        </is>
      </c>
      <c r="D5" s="25" t="n">
        <v>3</v>
      </c>
      <c r="E5" s="25" t="inlineStr">
        <is>
          <t>16x83,5</t>
        </is>
      </c>
      <c r="F5" s="25" t="n">
        <v>635.5</v>
      </c>
      <c r="G5" s="25" t="n">
        <v>0.52</v>
      </c>
      <c r="H5" s="25">
        <f>G5*D5</f>
        <v/>
      </c>
      <c r="I5" s="25" t="n">
        <v>45</v>
      </c>
      <c r="J5" s="25" t="n">
        <v>31.5</v>
      </c>
      <c r="K5" s="37" t="n">
        <v>0</v>
      </c>
      <c r="L5" s="37" t="n">
        <v>19.62</v>
      </c>
      <c r="M5" s="37" t="n"/>
      <c r="N5" s="10">
        <f>G5*2400+K5+L5+M5</f>
        <v/>
      </c>
      <c r="O5" s="10">
        <f>(K5+M5)/G5</f>
        <v/>
      </c>
      <c r="P5" s="10">
        <f>L5/G5</f>
        <v/>
      </c>
      <c r="Q5" s="10">
        <f>N5*D5/1000</f>
        <v/>
      </c>
      <c r="R5" s="11">
        <f>K5*D5/1000</f>
        <v/>
      </c>
      <c r="S5" s="11">
        <f>L5*D5/1000</f>
        <v/>
      </c>
    </row>
    <row r="6" ht="46.5" customHeight="1">
      <c r="A6" s="25" t="inlineStr">
        <is>
          <t>LAJE</t>
        </is>
      </c>
      <c r="B6" s="25" t="inlineStr">
        <is>
          <t>L-1002</t>
        </is>
      </c>
      <c r="C6" s="25" t="inlineStr">
        <is>
          <t>L1002-FORMA E ARMAÇÃO-R00</t>
        </is>
      </c>
      <c r="D6" s="25" t="n">
        <v>2</v>
      </c>
      <c r="E6" s="25" t="inlineStr">
        <is>
          <t>16x125</t>
        </is>
      </c>
      <c r="F6" s="25" t="n">
        <v>635.5</v>
      </c>
      <c r="G6" s="25" t="n">
        <v>0.79</v>
      </c>
      <c r="H6" s="25">
        <f>G6*D6</f>
        <v/>
      </c>
      <c r="I6" s="25" t="n">
        <v>45</v>
      </c>
      <c r="J6" s="25" t="n">
        <v>31.5</v>
      </c>
      <c r="K6" s="37" t="n">
        <v>0</v>
      </c>
      <c r="L6" s="37" t="n">
        <v>19.62</v>
      </c>
      <c r="M6" s="37" t="n"/>
      <c r="N6" s="10">
        <f>G6*2400+K6+L6+M6</f>
        <v/>
      </c>
      <c r="O6" s="10">
        <f>(K6+M6)/G6</f>
        <v/>
      </c>
      <c r="P6" s="10">
        <f>L6/G6</f>
        <v/>
      </c>
      <c r="Q6" s="10">
        <f>N6*D6/1000</f>
        <v/>
      </c>
      <c r="R6" s="11">
        <f>K6*D6/1000</f>
        <v/>
      </c>
      <c r="S6" s="11">
        <f>L6*D6/1000</f>
        <v/>
      </c>
    </row>
    <row r="7" ht="46.5" customHeight="1">
      <c r="A7" s="25" t="inlineStr">
        <is>
          <t>LAJE</t>
        </is>
      </c>
      <c r="B7" s="25" t="inlineStr">
        <is>
          <t>L-1003</t>
        </is>
      </c>
      <c r="C7" s="25" t="inlineStr">
        <is>
          <t>L1003-FORMA E ARMAÇÃO-R00</t>
        </is>
      </c>
      <c r="D7" s="25" t="n">
        <v>1</v>
      </c>
      <c r="E7" s="25" t="inlineStr">
        <is>
          <t>16x125</t>
        </is>
      </c>
      <c r="F7" s="25" t="n">
        <v>717</v>
      </c>
      <c r="G7" s="25" t="n">
        <v>0.88</v>
      </c>
      <c r="H7" s="25">
        <f>G7*D7</f>
        <v/>
      </c>
      <c r="I7" s="25" t="n">
        <v>45</v>
      </c>
      <c r="J7" s="25" t="n">
        <v>31.5</v>
      </c>
      <c r="K7" s="37" t="n">
        <v>0</v>
      </c>
      <c r="L7" s="37" t="n">
        <v>22.13</v>
      </c>
      <c r="M7" s="37" t="n"/>
      <c r="N7" s="10">
        <f>G7*2400+K7+L7+M7</f>
        <v/>
      </c>
      <c r="O7" s="10">
        <f>(K7+M7)/G7</f>
        <v/>
      </c>
      <c r="P7" s="10">
        <f>L7/G7</f>
        <v/>
      </c>
      <c r="Q7" s="10">
        <f>N7*D7/1000</f>
        <v/>
      </c>
      <c r="R7" s="11">
        <f>K7*D7/1000</f>
        <v/>
      </c>
      <c r="S7" s="11">
        <f>L7*D7/1000</f>
        <v/>
      </c>
    </row>
    <row r="8" ht="46.5" customHeight="1">
      <c r="A8" s="25" t="inlineStr">
        <is>
          <t>LAJE</t>
        </is>
      </c>
      <c r="B8" s="25" t="inlineStr">
        <is>
          <t>L-1004</t>
        </is>
      </c>
      <c r="C8" s="25" t="inlineStr">
        <is>
          <t>L1004-FORMA E ARMAÇÃO-R00</t>
        </is>
      </c>
      <c r="D8" s="25" t="n">
        <v>3</v>
      </c>
      <c r="E8" s="25" t="inlineStr">
        <is>
          <t>16x83,5</t>
        </is>
      </c>
      <c r="F8" s="25" t="n">
        <v>717</v>
      </c>
      <c r="G8" s="25" t="n">
        <v>0.59</v>
      </c>
      <c r="H8" s="25">
        <f>G8*D8</f>
        <v/>
      </c>
      <c r="I8" s="25" t="n">
        <v>45</v>
      </c>
      <c r="J8" s="25" t="n">
        <v>31.5</v>
      </c>
      <c r="K8" s="37" t="n">
        <v>0</v>
      </c>
      <c r="L8" s="37" t="n">
        <v>22.13</v>
      </c>
      <c r="M8" s="37" t="n"/>
      <c r="N8" s="10">
        <f>G8*2400+K8+L8+M8</f>
        <v/>
      </c>
      <c r="O8" s="10">
        <f>(K8+M8)/G8</f>
        <v/>
      </c>
      <c r="P8" s="10">
        <f>L8/G8</f>
        <v/>
      </c>
      <c r="Q8" s="10">
        <f>N8*D8/1000</f>
        <v/>
      </c>
      <c r="R8" s="11">
        <f>K8*D8/1000</f>
        <v/>
      </c>
      <c r="S8" s="11">
        <f>L8*D8/1000</f>
        <v/>
      </c>
    </row>
    <row r="9" ht="46.5" customHeight="1">
      <c r="A9" s="25" t="inlineStr">
        <is>
          <t>LAJE</t>
        </is>
      </c>
      <c r="B9" s="25" t="inlineStr">
        <is>
          <t>L-1005</t>
        </is>
      </c>
      <c r="C9" s="25" t="inlineStr">
        <is>
          <t>L1005-FORMA E ARMAÇÃO-R00</t>
        </is>
      </c>
      <c r="D9" s="25" t="n">
        <v>2</v>
      </c>
      <c r="E9" s="25" t="inlineStr">
        <is>
          <t>16x125</t>
        </is>
      </c>
      <c r="F9" s="25" t="n">
        <v>717</v>
      </c>
      <c r="G9" s="25" t="n">
        <v>0.89</v>
      </c>
      <c r="H9" s="25">
        <f>G9*D9</f>
        <v/>
      </c>
      <c r="I9" s="25" t="n">
        <v>45</v>
      </c>
      <c r="J9" s="25" t="n">
        <v>31.5</v>
      </c>
      <c r="K9" s="37" t="n">
        <v>0</v>
      </c>
      <c r="L9" s="37" t="n">
        <v>22.13</v>
      </c>
      <c r="M9" s="37" t="n"/>
      <c r="N9" s="10">
        <f>G9*2400+K9+L9+M9</f>
        <v/>
      </c>
      <c r="O9" s="10">
        <f>(K9+M9)/G9</f>
        <v/>
      </c>
      <c r="P9" s="10">
        <f>L9/G9</f>
        <v/>
      </c>
      <c r="Q9" s="10">
        <f>N9*D9/1000</f>
        <v/>
      </c>
      <c r="R9" s="11">
        <f>K9*D9/1000</f>
        <v/>
      </c>
      <c r="S9" s="11">
        <f>L9*D9/1000</f>
        <v/>
      </c>
    </row>
    <row r="10" ht="46.5" customHeight="1">
      <c r="A10" s="25" t="inlineStr">
        <is>
          <t>LAJE</t>
        </is>
      </c>
      <c r="B10" s="25" t="inlineStr">
        <is>
          <t>L-1006</t>
        </is>
      </c>
      <c r="C10" s="25" t="inlineStr">
        <is>
          <t>L1006-FORMA E ARMAÇÃO-R00</t>
        </is>
      </c>
      <c r="D10" s="25" t="n">
        <v>1</v>
      </c>
      <c r="E10" s="25" t="inlineStr">
        <is>
          <t>16x125</t>
        </is>
      </c>
      <c r="F10" s="25" t="n">
        <v>422.5</v>
      </c>
      <c r="G10" s="25" t="n">
        <v>0.51</v>
      </c>
      <c r="H10" s="25">
        <f>G10*D10</f>
        <v/>
      </c>
      <c r="I10" s="25" t="n">
        <v>45</v>
      </c>
      <c r="J10" s="25" t="n">
        <v>31.5</v>
      </c>
      <c r="K10" s="37" t="n">
        <v>0</v>
      </c>
      <c r="L10" s="37" t="n">
        <v>13.04</v>
      </c>
      <c r="M10" s="37" t="n"/>
      <c r="N10" s="10">
        <f>G10*2400+K10+L10+M10</f>
        <v/>
      </c>
      <c r="O10" s="10">
        <f>(K10+M10)/G10</f>
        <v/>
      </c>
      <c r="P10" s="10">
        <f>L10/G10</f>
        <v/>
      </c>
      <c r="Q10" s="10">
        <f>N10*D10/1000</f>
        <v/>
      </c>
      <c r="R10" s="11">
        <f>K10*D10/1000</f>
        <v/>
      </c>
      <c r="S10" s="11">
        <f>L10*D10/1000</f>
        <v/>
      </c>
    </row>
    <row r="11" ht="46.5" customHeight="1">
      <c r="A11" s="25" t="inlineStr">
        <is>
          <t>LAJE</t>
        </is>
      </c>
      <c r="B11" s="25" t="inlineStr">
        <is>
          <t>L-1007</t>
        </is>
      </c>
      <c r="C11" s="25" t="inlineStr">
        <is>
          <t>L1007-FORMA E ARMAÇÃO-R00</t>
        </is>
      </c>
      <c r="D11" s="25" t="n">
        <v>3</v>
      </c>
      <c r="E11" s="25" t="inlineStr">
        <is>
          <t>16x83,5</t>
        </is>
      </c>
      <c r="F11" s="25" t="n">
        <v>422.5</v>
      </c>
      <c r="G11" s="25" t="n">
        <v>0.23</v>
      </c>
      <c r="H11" s="25">
        <f>G11*D11</f>
        <v/>
      </c>
      <c r="I11" s="25" t="n">
        <v>45</v>
      </c>
      <c r="J11" s="25" t="n">
        <v>31.5</v>
      </c>
      <c r="K11" s="37" t="n">
        <v>0</v>
      </c>
      <c r="L11" s="37" t="n">
        <v>13.04</v>
      </c>
      <c r="M11" s="37" t="n"/>
      <c r="N11" s="10">
        <f>G11*2400+K11+L11+M11</f>
        <v/>
      </c>
      <c r="O11" s="10">
        <f>(K11+M11)/G11</f>
        <v/>
      </c>
      <c r="P11" s="10">
        <f>L11/G11</f>
        <v/>
      </c>
      <c r="Q11" s="10">
        <f>N11*D11/1000</f>
        <v/>
      </c>
      <c r="R11" s="11">
        <f>K11*D11/1000</f>
        <v/>
      </c>
      <c r="S11" s="11">
        <f>L11*D11/1000</f>
        <v/>
      </c>
    </row>
    <row r="12" ht="46.5" customHeight="1">
      <c r="A12" s="25" t="inlineStr">
        <is>
          <t>LAJE</t>
        </is>
      </c>
      <c r="B12" s="25" t="inlineStr">
        <is>
          <t>L-1008</t>
        </is>
      </c>
      <c r="C12" s="25" t="inlineStr">
        <is>
          <t>L1008-FORMA E ARMAÇÃO-R00</t>
        </is>
      </c>
      <c r="D12" s="25" t="n">
        <v>2</v>
      </c>
      <c r="E12" s="25" t="inlineStr">
        <is>
          <t>16x125</t>
        </is>
      </c>
      <c r="F12" s="25" t="n">
        <v>422.5</v>
      </c>
      <c r="G12" s="25" t="n">
        <v>0.52</v>
      </c>
      <c r="H12" s="25">
        <f>G12*D12</f>
        <v/>
      </c>
      <c r="I12" s="25" t="n">
        <v>45</v>
      </c>
      <c r="J12" s="25" t="n">
        <v>31.5</v>
      </c>
      <c r="K12" s="37" t="n">
        <v>0</v>
      </c>
      <c r="L12" s="37" t="n">
        <v>13.04</v>
      </c>
      <c r="M12" s="37" t="n"/>
      <c r="N12" s="10">
        <f>G12*2400+K12+L12+M12</f>
        <v/>
      </c>
      <c r="O12" s="10">
        <f>(K12+M12)/G12</f>
        <v/>
      </c>
      <c r="P12" s="10">
        <f>L12/G12</f>
        <v/>
      </c>
      <c r="Q12" s="10">
        <f>N12*D12/1000</f>
        <v/>
      </c>
      <c r="R12" s="11">
        <f>K12*D12/1000</f>
        <v/>
      </c>
      <c r="S12" s="11">
        <f>L12*D12/1000</f>
        <v/>
      </c>
    </row>
    <row r="13" ht="46.5" customHeight="1">
      <c r="A13" s="25" t="inlineStr">
        <is>
          <t>LAJE</t>
        </is>
      </c>
      <c r="B13" s="25" t="inlineStr">
        <is>
          <t>L-1009 = L-2014</t>
        </is>
      </c>
      <c r="C13" s="25" t="inlineStr">
        <is>
          <t>L1009=L2014-FORMA E ARMAÇÃO-R01</t>
        </is>
      </c>
      <c r="D13" s="25" t="n">
        <v>2</v>
      </c>
      <c r="E13" s="25" t="inlineStr">
        <is>
          <t>16x125</t>
        </is>
      </c>
      <c r="F13" s="25" t="n">
        <v>589</v>
      </c>
      <c r="G13" s="25" t="n">
        <v>0.73</v>
      </c>
      <c r="H13" s="25">
        <f>G13*D13</f>
        <v/>
      </c>
      <c r="I13" s="25" t="n">
        <v>45</v>
      </c>
      <c r="J13" s="25" t="n">
        <v>31.5</v>
      </c>
      <c r="K13" s="37" t="n">
        <v>0</v>
      </c>
      <c r="L13" s="37" t="n">
        <v>12.99</v>
      </c>
      <c r="M13" s="37" t="n"/>
      <c r="N13" s="10">
        <f>G13*2400+K13+L13+M13</f>
        <v/>
      </c>
      <c r="O13" s="10">
        <f>(K13+M13)/G13</f>
        <v/>
      </c>
      <c r="P13" s="10">
        <f>L13/G13</f>
        <v/>
      </c>
      <c r="Q13" s="10">
        <f>N13*D13/1000</f>
        <v/>
      </c>
      <c r="R13" s="11">
        <f>K13*D13/1000</f>
        <v/>
      </c>
      <c r="S13" s="11">
        <f>L13*D13/1000</f>
        <v/>
      </c>
    </row>
    <row r="14" ht="46.5" customHeight="1">
      <c r="A14" s="25" t="inlineStr">
        <is>
          <t>LAJE</t>
        </is>
      </c>
      <c r="B14" s="25" t="inlineStr">
        <is>
          <t>L-1010 = L-2015</t>
        </is>
      </c>
      <c r="C14" s="25" t="inlineStr">
        <is>
          <t>L1010=L2015-FORMA E ARMAÇÃO-R01</t>
        </is>
      </c>
      <c r="D14" s="25" t="n">
        <v>14</v>
      </c>
      <c r="E14" s="25" t="inlineStr">
        <is>
          <t>16x125</t>
        </is>
      </c>
      <c r="F14" s="25" t="n">
        <v>589</v>
      </c>
      <c r="G14" s="25" t="n">
        <v>0.73</v>
      </c>
      <c r="H14" s="25">
        <f>G14*D14</f>
        <v/>
      </c>
      <c r="I14" s="25" t="n">
        <v>45</v>
      </c>
      <c r="J14" s="25" t="n">
        <v>31.5</v>
      </c>
      <c r="K14" s="37" t="n">
        <v>0</v>
      </c>
      <c r="L14" s="37" t="n">
        <v>12.99</v>
      </c>
      <c r="M14" s="37" t="n"/>
      <c r="N14" s="10">
        <f>G14*2400+K14+L14+M14</f>
        <v/>
      </c>
      <c r="O14" s="10">
        <f>(K14+M14)/G14</f>
        <v/>
      </c>
      <c r="P14" s="10">
        <f>L14/G14</f>
        <v/>
      </c>
      <c r="Q14" s="10">
        <f>N14*D14/1000</f>
        <v/>
      </c>
      <c r="R14" s="11">
        <f>K14*D14/1000</f>
        <v/>
      </c>
      <c r="S14" s="11">
        <f>L14*D14/1000</f>
        <v/>
      </c>
    </row>
    <row r="15" ht="46.5" customHeight="1">
      <c r="A15" s="25" t="inlineStr">
        <is>
          <t>LAJE</t>
        </is>
      </c>
      <c r="B15" s="25" t="inlineStr">
        <is>
          <t>L-1011 = L-2023 = L-3023 = L-4023</t>
        </is>
      </c>
      <c r="C15" s="25" t="inlineStr">
        <is>
          <t>L1011=L2023=L3023=L4023-FORMA E ARMAÇÃO-R01</t>
        </is>
      </c>
      <c r="D15" s="25" t="n">
        <v>4</v>
      </c>
      <c r="E15" s="25" t="inlineStr">
        <is>
          <t>16x65</t>
        </is>
      </c>
      <c r="F15" s="25" t="n">
        <v>589</v>
      </c>
      <c r="G15" s="25" t="n">
        <v>0.38</v>
      </c>
      <c r="H15" s="25">
        <f>G15*D15</f>
        <v/>
      </c>
      <c r="I15" s="25" t="n">
        <v>45</v>
      </c>
      <c r="J15" s="25" t="n">
        <v>31.5</v>
      </c>
      <c r="K15" s="37" t="n">
        <v>0</v>
      </c>
      <c r="L15" s="37" t="n">
        <v>12.99</v>
      </c>
      <c r="M15" s="37" t="n"/>
      <c r="N15" s="10">
        <f>G15*2400+K15+L15+M15</f>
        <v/>
      </c>
      <c r="O15" s="10">
        <f>(K15+M15)/G15</f>
        <v/>
      </c>
      <c r="P15" s="10">
        <f>L15/G15</f>
        <v/>
      </c>
      <c r="Q15" s="10">
        <f>N15*D15/1000</f>
        <v/>
      </c>
      <c r="R15" s="11">
        <f>K15*D15/1000</f>
        <v/>
      </c>
      <c r="S15" s="11">
        <f>L15*D15/1000</f>
        <v/>
      </c>
    </row>
    <row r="16" ht="46.5" customHeight="1">
      <c r="A16" s="25" t="inlineStr">
        <is>
          <t>LAJE</t>
        </is>
      </c>
      <c r="B16" s="25" t="inlineStr">
        <is>
          <t>L-1012 = L-2017</t>
        </is>
      </c>
      <c r="C16" s="25" t="inlineStr">
        <is>
          <t>L1012=L2017-FORMA E ARMAÇÃO-R01</t>
        </is>
      </c>
      <c r="D16" s="25" t="n">
        <v>2</v>
      </c>
      <c r="E16" s="25" t="inlineStr">
        <is>
          <t>16x125</t>
        </is>
      </c>
      <c r="F16" s="25" t="n">
        <v>589</v>
      </c>
      <c r="G16" s="25" t="n">
        <v>0.73</v>
      </c>
      <c r="H16" s="25">
        <f>G16*D16</f>
        <v/>
      </c>
      <c r="I16" s="25" t="n">
        <v>45</v>
      </c>
      <c r="J16" s="25" t="n">
        <v>31.5</v>
      </c>
      <c r="K16" s="37" t="n">
        <v>0</v>
      </c>
      <c r="L16" s="37" t="n">
        <v>12.99</v>
      </c>
      <c r="M16" s="37" t="n"/>
      <c r="N16" s="10">
        <f>G16*2400+K16+L16+M16</f>
        <v/>
      </c>
      <c r="O16" s="10">
        <f>(K16+M16)/G16</f>
        <v/>
      </c>
      <c r="P16" s="10">
        <f>L16/G16</f>
        <v/>
      </c>
      <c r="Q16" s="10">
        <f>N16*D16/1000</f>
        <v/>
      </c>
      <c r="R16" s="11">
        <f>K16*D16/1000</f>
        <v/>
      </c>
      <c r="S16" s="11">
        <f>L16*D16/1000</f>
        <v/>
      </c>
    </row>
    <row r="17" ht="46.5" customHeight="1">
      <c r="A17" s="25" t="inlineStr">
        <is>
          <t>LAJE</t>
        </is>
      </c>
      <c r="B17" s="25" t="inlineStr">
        <is>
          <t>L-1013 = L-2018</t>
        </is>
      </c>
      <c r="C17" s="25" t="inlineStr">
        <is>
          <t>L1013=L2018-FORMA E ARMAÇÃO-R01</t>
        </is>
      </c>
      <c r="D17" s="25" t="n">
        <v>2</v>
      </c>
      <c r="E17" s="25" t="inlineStr">
        <is>
          <t>16x125</t>
        </is>
      </c>
      <c r="F17" s="25" t="n">
        <v>589</v>
      </c>
      <c r="G17" s="25" t="n">
        <v>0.72</v>
      </c>
      <c r="H17" s="25">
        <f>G17*D17</f>
        <v/>
      </c>
      <c r="I17" s="25" t="n">
        <v>45</v>
      </c>
      <c r="J17" s="25" t="n">
        <v>31.5</v>
      </c>
      <c r="K17" s="37" t="n">
        <v>0</v>
      </c>
      <c r="L17" s="37" t="n">
        <v>12.99</v>
      </c>
      <c r="M17" s="37" t="n"/>
      <c r="N17" s="10">
        <f>G17*2400+K17+L17+M17</f>
        <v/>
      </c>
      <c r="O17" s="10">
        <f>(K17+M17)/G17</f>
        <v/>
      </c>
      <c r="P17" s="10">
        <f>L17/G17</f>
        <v/>
      </c>
      <c r="Q17" s="10">
        <f>N17*D17/1000</f>
        <v/>
      </c>
      <c r="R17" s="11">
        <f>K17*D17/1000</f>
        <v/>
      </c>
      <c r="S17" s="11">
        <f>L17*D17/1000</f>
        <v/>
      </c>
    </row>
    <row r="18" ht="46.5" customHeight="1">
      <c r="A18" s="25" t="inlineStr">
        <is>
          <t>LAJE</t>
        </is>
      </c>
      <c r="B18" s="25" t="inlineStr">
        <is>
          <t>L-1014 = L-2019</t>
        </is>
      </c>
      <c r="C18" s="25" t="inlineStr">
        <is>
          <t>L1014=L2019-FORMA E ARMAÇÃO-R01</t>
        </is>
      </c>
      <c r="D18" s="25" t="n">
        <v>2</v>
      </c>
      <c r="E18" s="25" t="inlineStr">
        <is>
          <t>16x79,5</t>
        </is>
      </c>
      <c r="F18" s="25" t="n">
        <v>589</v>
      </c>
      <c r="G18" s="25" t="n">
        <v>0.46</v>
      </c>
      <c r="H18" s="25">
        <f>G18*D18</f>
        <v/>
      </c>
      <c r="I18" s="25" t="n">
        <v>45</v>
      </c>
      <c r="J18" s="25" t="n">
        <v>31.5</v>
      </c>
      <c r="K18" s="37" t="n">
        <v>0</v>
      </c>
      <c r="L18" s="37" t="n">
        <v>12.99</v>
      </c>
      <c r="M18" s="37" t="n"/>
      <c r="N18" s="10">
        <f>G18*2400+K18+L18+M18</f>
        <v/>
      </c>
      <c r="O18" s="10">
        <f>(K18+M18)/G18</f>
        <v/>
      </c>
      <c r="P18" s="10">
        <f>L18/G18</f>
        <v/>
      </c>
      <c r="Q18" s="10">
        <f>N18*D18/1000</f>
        <v/>
      </c>
      <c r="R18" s="11">
        <f>K18*D18/1000</f>
        <v/>
      </c>
      <c r="S18" s="11">
        <f>L18*D18/1000</f>
        <v/>
      </c>
    </row>
    <row r="19" ht="46.5" customHeight="1">
      <c r="A19" s="25" t="inlineStr">
        <is>
          <t>LAJE</t>
        </is>
      </c>
      <c r="B19" s="25" t="inlineStr">
        <is>
          <t>L-1015</t>
        </is>
      </c>
      <c r="C19" s="25" t="inlineStr">
        <is>
          <t>L1015-FORMA E ARMAÇÃO-R01</t>
        </is>
      </c>
      <c r="D19" s="25" t="n">
        <v>1</v>
      </c>
      <c r="E19" s="25" t="inlineStr">
        <is>
          <t>16x125</t>
        </is>
      </c>
      <c r="F19" s="25" t="n">
        <v>589</v>
      </c>
      <c r="G19" s="25" t="n">
        <v>0.73</v>
      </c>
      <c r="H19" s="25">
        <f>G19*D19</f>
        <v/>
      </c>
      <c r="I19" s="25" t="n">
        <v>45</v>
      </c>
      <c r="J19" s="25" t="n">
        <v>31.5</v>
      </c>
      <c r="K19" s="37" t="n">
        <v>0</v>
      </c>
      <c r="L19" s="37" t="n">
        <v>12.99</v>
      </c>
      <c r="M19" s="37" t="n"/>
      <c r="N19" s="10">
        <f>G19*2400+K19+L19+M19</f>
        <v/>
      </c>
      <c r="O19" s="10">
        <f>(K19+M19)/G19</f>
        <v/>
      </c>
      <c r="P19" s="10">
        <f>L19/G19</f>
        <v/>
      </c>
      <c r="Q19" s="10">
        <f>N19*D19/1000</f>
        <v/>
      </c>
      <c r="R19" s="11">
        <f>K19*D19/1000</f>
        <v/>
      </c>
      <c r="S19" s="11">
        <f>L19*D19/1000</f>
        <v/>
      </c>
    </row>
    <row r="20" ht="46.5" customHeight="1">
      <c r="A20" s="25" t="inlineStr">
        <is>
          <t>LAJE</t>
        </is>
      </c>
      <c r="B20" s="25" t="inlineStr">
        <is>
          <t>L-1017 = L-4029</t>
        </is>
      </c>
      <c r="C20" s="25" t="inlineStr">
        <is>
          <t>L1017=L4029-FORMA E ARMAÇÃO-R00</t>
        </is>
      </c>
      <c r="D20" s="25" t="n">
        <v>2</v>
      </c>
      <c r="E20" s="25" t="inlineStr">
        <is>
          <t>16x65</t>
        </is>
      </c>
      <c r="F20" s="25" t="n">
        <v>573.5</v>
      </c>
      <c r="G20" s="25" t="n">
        <v>0.37</v>
      </c>
      <c r="H20" s="25">
        <f>G20*D20</f>
        <v/>
      </c>
      <c r="I20" s="25" t="n">
        <v>45</v>
      </c>
      <c r="J20" s="25" t="n">
        <v>31.5</v>
      </c>
      <c r="K20" s="37" t="n">
        <v>0</v>
      </c>
      <c r="L20" s="37" t="n">
        <v>12.65</v>
      </c>
      <c r="M20" s="37" t="n"/>
      <c r="N20" s="10">
        <f>G20*2400+K20+L20+M20</f>
        <v/>
      </c>
      <c r="O20" s="10">
        <f>(K20+M20)/G20</f>
        <v/>
      </c>
      <c r="P20" s="10">
        <f>L20/G20</f>
        <v/>
      </c>
      <c r="Q20" s="10">
        <f>N20*D20/1000</f>
        <v/>
      </c>
      <c r="R20" s="11">
        <f>K20*D20/1000</f>
        <v/>
      </c>
      <c r="S20" s="11">
        <f>L20*D20/1000</f>
        <v/>
      </c>
    </row>
    <row r="21" ht="46.5" customHeight="1">
      <c r="A21" s="25" t="inlineStr">
        <is>
          <t>LAJE</t>
        </is>
      </c>
      <c r="B21" s="25" t="inlineStr">
        <is>
          <t>L-1018</t>
        </is>
      </c>
      <c r="C21" s="25" t="inlineStr">
        <is>
          <t>L1018-FORMA E ARMAÇÃO-R00</t>
        </is>
      </c>
      <c r="D21" s="25" t="n">
        <v>1</v>
      </c>
      <c r="E21" s="25" t="inlineStr">
        <is>
          <t>16x125</t>
        </is>
      </c>
      <c r="F21" s="25" t="n">
        <v>573.5</v>
      </c>
      <c r="G21" s="25" t="n">
        <v>0.71</v>
      </c>
      <c r="H21" s="25">
        <f>G21*D21</f>
        <v/>
      </c>
      <c r="I21" s="25" t="n">
        <v>45</v>
      </c>
      <c r="J21" s="25" t="n">
        <v>31.5</v>
      </c>
      <c r="K21" s="37" t="n">
        <v>0</v>
      </c>
      <c r="L21" s="37" t="n">
        <v>12.65</v>
      </c>
      <c r="M21" s="37" t="n"/>
      <c r="N21" s="10">
        <f>G21*2400+K21+L21+M21</f>
        <v/>
      </c>
      <c r="O21" s="10">
        <f>(K21+M21)/G21</f>
        <v/>
      </c>
      <c r="P21" s="10">
        <f>L21/G21</f>
        <v/>
      </c>
      <c r="Q21" s="10">
        <f>N21*D21/1000</f>
        <v/>
      </c>
      <c r="R21" s="11">
        <f>K21*D21/1000</f>
        <v/>
      </c>
      <c r="S21" s="11">
        <f>L21*D21/1000</f>
        <v/>
      </c>
    </row>
    <row r="22" ht="46.5" customHeight="1">
      <c r="A22" s="25" t="inlineStr">
        <is>
          <t>LAJE</t>
        </is>
      </c>
      <c r="B22" s="25" t="inlineStr">
        <is>
          <t>L-1019</t>
        </is>
      </c>
      <c r="C22" s="25" t="inlineStr">
        <is>
          <t>L1019-FORMA E ARMAÇÃO-R00</t>
        </is>
      </c>
      <c r="D22" s="25" t="n">
        <v>1</v>
      </c>
      <c r="E22" s="25" t="inlineStr">
        <is>
          <t>16x125</t>
        </is>
      </c>
      <c r="F22" s="25" t="n">
        <v>573.5</v>
      </c>
      <c r="G22" s="25" t="n">
        <v>0.71</v>
      </c>
      <c r="H22" s="25">
        <f>G22*D22</f>
        <v/>
      </c>
      <c r="I22" s="25" t="n">
        <v>45</v>
      </c>
      <c r="J22" s="25" t="n">
        <v>31.5</v>
      </c>
      <c r="K22" s="37" t="n">
        <v>0</v>
      </c>
      <c r="L22" s="37" t="n">
        <v>12.65</v>
      </c>
      <c r="M22" s="37" t="n"/>
      <c r="N22" s="10">
        <f>G22*2400+K22+L22+M22</f>
        <v/>
      </c>
      <c r="O22" s="10">
        <f>(K22+M22)/G22</f>
        <v/>
      </c>
      <c r="P22" s="10">
        <f>L22/G22</f>
        <v/>
      </c>
      <c r="Q22" s="10">
        <f>N22*D22/1000</f>
        <v/>
      </c>
      <c r="R22" s="11">
        <f>K22*D22/1000</f>
        <v/>
      </c>
      <c r="S22" s="11">
        <f>L22*D22/1000</f>
        <v/>
      </c>
    </row>
    <row r="23" ht="46.5" customHeight="1">
      <c r="A23" s="25" t="inlineStr">
        <is>
          <t>LAJE</t>
        </is>
      </c>
      <c r="B23" s="25" t="inlineStr">
        <is>
          <t>L-1021</t>
        </is>
      </c>
      <c r="C23" s="25" t="inlineStr">
        <is>
          <t>L1021-FORMA E ARMAÇÃO-R00</t>
        </is>
      </c>
      <c r="D23" s="25" t="n">
        <v>1</v>
      </c>
      <c r="E23" s="25" t="inlineStr">
        <is>
          <t>16x125</t>
        </is>
      </c>
      <c r="F23" s="25" t="n">
        <v>573.5</v>
      </c>
      <c r="G23" s="25" t="n">
        <v>0.71</v>
      </c>
      <c r="H23" s="25">
        <f>G23*D23</f>
        <v/>
      </c>
      <c r="I23" s="25" t="n">
        <v>45</v>
      </c>
      <c r="J23" s="25" t="n">
        <v>31.5</v>
      </c>
      <c r="K23" s="37" t="n">
        <v>0</v>
      </c>
      <c r="L23" s="37" t="n">
        <v>12.65</v>
      </c>
      <c r="M23" s="37" t="n"/>
      <c r="N23" s="10">
        <f>G23*2400+K23+L23+M23</f>
        <v/>
      </c>
      <c r="O23" s="10">
        <f>(K23+M23)/G23</f>
        <v/>
      </c>
      <c r="P23" s="10">
        <f>L23/G23</f>
        <v/>
      </c>
      <c r="Q23" s="10">
        <f>N23*D23/1000</f>
        <v/>
      </c>
      <c r="R23" s="11">
        <f>K23*D23/1000</f>
        <v/>
      </c>
      <c r="S23" s="11">
        <f>L23*D23/1000</f>
        <v/>
      </c>
    </row>
    <row r="24" ht="46.5" customHeight="1">
      <c r="A24" s="25" t="inlineStr">
        <is>
          <t>LAJE</t>
        </is>
      </c>
      <c r="B24" s="25" t="inlineStr">
        <is>
          <t>L-1023</t>
        </is>
      </c>
      <c r="C24" s="25" t="inlineStr">
        <is>
          <t>L1023-FORMA E ARMAÇÃO-R00</t>
        </is>
      </c>
      <c r="D24" s="25" t="n">
        <v>1</v>
      </c>
      <c r="E24" s="25" t="inlineStr">
        <is>
          <t>16x67</t>
        </is>
      </c>
      <c r="F24" s="25" t="n">
        <v>573.5</v>
      </c>
      <c r="G24" s="25" t="n">
        <v>0.38</v>
      </c>
      <c r="H24" s="25">
        <f>G24*D24</f>
        <v/>
      </c>
      <c r="I24" s="25" t="n">
        <v>45</v>
      </c>
      <c r="J24" s="25" t="n">
        <v>31.5</v>
      </c>
      <c r="K24" s="37" t="n">
        <v>0</v>
      </c>
      <c r="L24" s="37" t="n">
        <v>12.65</v>
      </c>
      <c r="M24" s="37" t="n"/>
      <c r="N24" s="10">
        <f>G24*2400+K24+L24+M24</f>
        <v/>
      </c>
      <c r="O24" s="10">
        <f>(K24+M24)/G24</f>
        <v/>
      </c>
      <c r="P24" s="10">
        <f>L24/G24</f>
        <v/>
      </c>
      <c r="Q24" s="10">
        <f>N24*D24/1000</f>
        <v/>
      </c>
      <c r="R24" s="11">
        <f>K24*D24/1000</f>
        <v/>
      </c>
      <c r="S24" s="11">
        <f>L24*D24/1000</f>
        <v/>
      </c>
    </row>
    <row r="25" ht="46.5" customHeight="1">
      <c r="A25" s="25" t="inlineStr">
        <is>
          <t>LAJE</t>
        </is>
      </c>
      <c r="B25" s="25" t="inlineStr">
        <is>
          <t>L-1025 = L-2000</t>
        </is>
      </c>
      <c r="C25" s="25" t="inlineStr">
        <is>
          <t>L1025=L2000-FORMA E ARMAÇÃO-R00</t>
        </is>
      </c>
      <c r="D25" s="25" t="n">
        <v>2</v>
      </c>
      <c r="E25" s="25" t="inlineStr">
        <is>
          <t>16x125</t>
        </is>
      </c>
      <c r="F25" s="25" t="n">
        <v>454</v>
      </c>
      <c r="G25" s="25" t="n">
        <v>0.5600000000000001</v>
      </c>
      <c r="H25" s="25">
        <f>G25*D25</f>
        <v/>
      </c>
      <c r="I25" s="25" t="n">
        <v>45</v>
      </c>
      <c r="J25" s="25" t="n">
        <v>31.5</v>
      </c>
      <c r="K25" s="37" t="n">
        <v>0</v>
      </c>
      <c r="L25" s="37" t="n">
        <v>10.01</v>
      </c>
      <c r="M25" s="37" t="n"/>
      <c r="N25" s="10">
        <f>G25*2400+K25+L25+M25</f>
        <v/>
      </c>
      <c r="O25" s="10">
        <f>(K25+M25)/G25</f>
        <v/>
      </c>
      <c r="P25" s="10">
        <f>L25/G25</f>
        <v/>
      </c>
      <c r="Q25" s="10">
        <f>N25*D25/1000</f>
        <v/>
      </c>
      <c r="R25" s="11">
        <f>K25*D25/1000</f>
        <v/>
      </c>
      <c r="S25" s="11">
        <f>L25*D25/1000</f>
        <v/>
      </c>
    </row>
    <row r="26" ht="46.5" customHeight="1">
      <c r="A26" s="25" t="inlineStr">
        <is>
          <t>LAJE</t>
        </is>
      </c>
      <c r="B26" s="25" t="inlineStr">
        <is>
          <t>L-1026 = L-2001</t>
        </is>
      </c>
      <c r="C26" s="25" t="inlineStr">
        <is>
          <t>L1026=L2001-FORMA E ARMAÇÃO-R00</t>
        </is>
      </c>
      <c r="D26" s="25" t="n">
        <v>16</v>
      </c>
      <c r="E26" s="25" t="inlineStr">
        <is>
          <t>16x125</t>
        </is>
      </c>
      <c r="F26" s="25" t="n">
        <v>454</v>
      </c>
      <c r="G26" s="25" t="n">
        <v>0.5600000000000001</v>
      </c>
      <c r="H26" s="25">
        <f>G26*D26</f>
        <v/>
      </c>
      <c r="I26" s="25" t="n">
        <v>45</v>
      </c>
      <c r="J26" s="25" t="n">
        <v>31.5</v>
      </c>
      <c r="K26" s="37" t="n">
        <v>0</v>
      </c>
      <c r="L26" s="37" t="n">
        <v>10.01</v>
      </c>
      <c r="M26" s="37" t="n"/>
      <c r="N26" s="10">
        <f>G26*2400+K26+L26+M26</f>
        <v/>
      </c>
      <c r="O26" s="10">
        <f>(K26+M26)/G26</f>
        <v/>
      </c>
      <c r="P26" s="10">
        <f>L26/G26</f>
        <v/>
      </c>
      <c r="Q26" s="10">
        <f>N26*D26/1000</f>
        <v/>
      </c>
      <c r="R26" s="11">
        <f>K26*D26/1000</f>
        <v/>
      </c>
      <c r="S26" s="11">
        <f>L26*D26/1000</f>
        <v/>
      </c>
    </row>
    <row r="27" ht="46.5" customHeight="1">
      <c r="A27" s="25" t="inlineStr">
        <is>
          <t>LAJE</t>
        </is>
      </c>
      <c r="B27" s="25" t="inlineStr">
        <is>
          <t>L-1027 = L-2002</t>
        </is>
      </c>
      <c r="C27" s="25" t="inlineStr">
        <is>
          <t>L1027=L2002-FORMA E ARMAÇÃO-R00</t>
        </is>
      </c>
      <c r="D27" s="25" t="n">
        <v>2</v>
      </c>
      <c r="E27" s="25" t="inlineStr">
        <is>
          <t>16x125</t>
        </is>
      </c>
      <c r="F27" s="25" t="n">
        <v>454</v>
      </c>
      <c r="G27" s="25" t="n">
        <v>0.55</v>
      </c>
      <c r="H27" s="25">
        <f>G27*D27</f>
        <v/>
      </c>
      <c r="I27" s="25" t="n">
        <v>45</v>
      </c>
      <c r="J27" s="25" t="n">
        <v>31.5</v>
      </c>
      <c r="K27" s="37" t="n">
        <v>0</v>
      </c>
      <c r="L27" s="37" t="n">
        <v>10.01</v>
      </c>
      <c r="M27" s="37" t="n"/>
      <c r="N27" s="10">
        <f>G27*2400+K27+L27+M27</f>
        <v/>
      </c>
      <c r="O27" s="10">
        <f>(K27+M27)/G27</f>
        <v/>
      </c>
      <c r="P27" s="10">
        <f>L27/G27</f>
        <v/>
      </c>
      <c r="Q27" s="10">
        <f>N27*D27/1000</f>
        <v/>
      </c>
      <c r="R27" s="11">
        <f>K27*D27/1000</f>
        <v/>
      </c>
      <c r="S27" s="11">
        <f>L27*D27/1000</f>
        <v/>
      </c>
    </row>
    <row r="28" ht="46.5" customHeight="1">
      <c r="A28" s="25" t="inlineStr">
        <is>
          <t>LAJE</t>
        </is>
      </c>
      <c r="B28" s="25" t="inlineStr">
        <is>
          <t>L-1028 = L-2003</t>
        </is>
      </c>
      <c r="C28" s="25" t="inlineStr">
        <is>
          <t>L1028=L2003-FORMA E ARMAÇÃO-R00</t>
        </is>
      </c>
      <c r="D28" s="25" t="n">
        <v>2</v>
      </c>
      <c r="E28" s="25" t="inlineStr">
        <is>
          <t>16x125</t>
        </is>
      </c>
      <c r="F28" s="25" t="n">
        <v>454</v>
      </c>
      <c r="G28" s="25" t="n">
        <v>0.5600000000000001</v>
      </c>
      <c r="H28" s="25">
        <f>G28*D28</f>
        <v/>
      </c>
      <c r="I28" s="25" t="n">
        <v>45</v>
      </c>
      <c r="J28" s="25" t="n">
        <v>31.5</v>
      </c>
      <c r="K28" s="37" t="n">
        <v>0</v>
      </c>
      <c r="L28" s="37" t="n">
        <v>10.01</v>
      </c>
      <c r="M28" s="37" t="n"/>
      <c r="N28" s="10">
        <f>G28*2400+K28+L28+M28</f>
        <v/>
      </c>
      <c r="O28" s="10">
        <f>(K28+M28)/G28</f>
        <v/>
      </c>
      <c r="P28" s="10">
        <f>L28/G28</f>
        <v/>
      </c>
      <c r="Q28" s="10">
        <f>N28*D28/1000</f>
        <v/>
      </c>
      <c r="R28" s="11">
        <f>K28*D28/1000</f>
        <v/>
      </c>
      <c r="S28" s="11">
        <f>L28*D28/1000</f>
        <v/>
      </c>
    </row>
    <row r="29" ht="46.5" customHeight="1">
      <c r="A29" s="25" t="inlineStr">
        <is>
          <t>LAJE</t>
        </is>
      </c>
      <c r="B29" s="25" t="inlineStr">
        <is>
          <t>L-1029 = L-2004</t>
        </is>
      </c>
      <c r="C29" s="25" t="inlineStr">
        <is>
          <t>L1029=L2004-FORMA E ARMAÇÃO-R00</t>
        </is>
      </c>
      <c r="D29" s="25" t="n">
        <v>2</v>
      </c>
      <c r="E29" s="25" t="inlineStr">
        <is>
          <t>16x125</t>
        </is>
      </c>
      <c r="F29" s="25" t="n">
        <v>454</v>
      </c>
      <c r="G29" s="25" t="n">
        <v>0.5600000000000001</v>
      </c>
      <c r="H29" s="25">
        <f>G29*D29</f>
        <v/>
      </c>
      <c r="I29" s="25" t="n">
        <v>45</v>
      </c>
      <c r="J29" s="25" t="n">
        <v>31.5</v>
      </c>
      <c r="K29" s="37" t="n">
        <v>0</v>
      </c>
      <c r="L29" s="37" t="n">
        <v>10.01</v>
      </c>
      <c r="M29" s="37" t="n"/>
      <c r="N29" s="10">
        <f>G29*2400+K29+L29+M29</f>
        <v/>
      </c>
      <c r="O29" s="10">
        <f>(K29+M29)/G29</f>
        <v/>
      </c>
      <c r="P29" s="10">
        <f>L29/G29</f>
        <v/>
      </c>
      <c r="Q29" s="10">
        <f>N29*D29/1000</f>
        <v/>
      </c>
      <c r="R29" s="11">
        <f>K29*D29/1000</f>
        <v/>
      </c>
      <c r="S29" s="11">
        <f>L29*D29/1000</f>
        <v/>
      </c>
    </row>
    <row r="30" ht="46.5" customHeight="1">
      <c r="A30" s="25" t="inlineStr">
        <is>
          <t>LAJE</t>
        </is>
      </c>
      <c r="B30" s="25" t="inlineStr">
        <is>
          <t>L-1030 = L-2005</t>
        </is>
      </c>
      <c r="C30" s="25" t="inlineStr">
        <is>
          <t>L1030=L2005-FORMA E ARMAÇÃO-R00</t>
        </is>
      </c>
      <c r="D30" s="25" t="n">
        <v>2</v>
      </c>
      <c r="E30" s="25" t="inlineStr">
        <is>
          <t>16x125</t>
        </is>
      </c>
      <c r="F30" s="25" t="n">
        <v>454</v>
      </c>
      <c r="G30" s="25" t="n">
        <v>0.5600000000000001</v>
      </c>
      <c r="H30" s="25">
        <f>G30*D30</f>
        <v/>
      </c>
      <c r="I30" s="25" t="n">
        <v>45</v>
      </c>
      <c r="J30" s="25" t="n">
        <v>31.5</v>
      </c>
      <c r="K30" s="37" t="n">
        <v>0</v>
      </c>
      <c r="L30" s="37" t="n">
        <v>10.01</v>
      </c>
      <c r="M30" s="37" t="n"/>
      <c r="N30" s="10">
        <f>G30*2400+K30+L30+M30</f>
        <v/>
      </c>
      <c r="O30" s="10">
        <f>(K30+M30)/G30</f>
        <v/>
      </c>
      <c r="P30" s="10">
        <f>L30/G30</f>
        <v/>
      </c>
      <c r="Q30" s="10">
        <f>N30*D30/1000</f>
        <v/>
      </c>
      <c r="R30" s="11">
        <f>K30*D30/1000</f>
        <v/>
      </c>
      <c r="S30" s="11">
        <f>L30*D30/1000</f>
        <v/>
      </c>
    </row>
    <row r="31" ht="46.5" customHeight="1">
      <c r="A31" s="25" t="inlineStr">
        <is>
          <t>LAJE</t>
        </is>
      </c>
      <c r="B31" s="25" t="inlineStr">
        <is>
          <t>L-1031 = L-2006 = L-3001 = L-4000</t>
        </is>
      </c>
      <c r="C31" s="25" t="inlineStr">
        <is>
          <t>L1031=L2006=L3006=L4000-FORMA E ARMAÇÃO-R00</t>
        </is>
      </c>
      <c r="D31" s="25" t="n">
        <v>32</v>
      </c>
      <c r="E31" s="25" t="inlineStr">
        <is>
          <t>16x125</t>
        </is>
      </c>
      <c r="F31" s="25" t="n">
        <v>439</v>
      </c>
      <c r="G31" s="25" t="n">
        <v>0.54</v>
      </c>
      <c r="H31" s="25">
        <f>G31*D31</f>
        <v/>
      </c>
      <c r="I31" s="25" t="n">
        <v>45</v>
      </c>
      <c r="J31" s="25" t="n">
        <v>31.5</v>
      </c>
      <c r="K31" s="37" t="n">
        <v>0</v>
      </c>
      <c r="L31" s="37" t="n">
        <v>9.68</v>
      </c>
      <c r="M31" s="37" t="n"/>
      <c r="N31" s="10">
        <f>G31*2400+K31+L31+M31</f>
        <v/>
      </c>
      <c r="O31" s="10">
        <f>(K31+M31)/G31</f>
        <v/>
      </c>
      <c r="P31" s="10">
        <f>L31/G31</f>
        <v/>
      </c>
      <c r="Q31" s="10">
        <f>N31*D31/1000</f>
        <v/>
      </c>
      <c r="R31" s="11">
        <f>K31*D31/1000</f>
        <v/>
      </c>
      <c r="S31" s="11">
        <f>L31*D31/1000</f>
        <v/>
      </c>
    </row>
    <row r="32" ht="46.5" customHeight="1">
      <c r="A32" s="25" t="inlineStr">
        <is>
          <t>LAJE</t>
        </is>
      </c>
      <c r="B32" s="25" t="inlineStr">
        <is>
          <t>L-1032 = L-2007 = L-3007 = L-4007</t>
        </is>
      </c>
      <c r="C32" s="25" t="inlineStr">
        <is>
          <t>L1032=L2007=L3007=L4007-FORMA E ARMAÇÃO-R00</t>
        </is>
      </c>
      <c r="D32" s="25" t="n">
        <v>4</v>
      </c>
      <c r="E32" s="25" t="inlineStr">
        <is>
          <t>16x125</t>
        </is>
      </c>
      <c r="F32" s="25" t="n">
        <v>439</v>
      </c>
      <c r="G32" s="25" t="n">
        <v>0.54</v>
      </c>
      <c r="H32" s="25">
        <f>G32*D32</f>
        <v/>
      </c>
      <c r="I32" s="25" t="n">
        <v>45</v>
      </c>
      <c r="J32" s="25" t="n">
        <v>31.5</v>
      </c>
      <c r="K32" s="37" t="n">
        <v>0</v>
      </c>
      <c r="L32" s="37" t="n">
        <v>9.68</v>
      </c>
      <c r="M32" s="37" t="n"/>
      <c r="N32" s="10">
        <f>G32*2400+K32+L32+M32</f>
        <v/>
      </c>
      <c r="O32" s="10">
        <f>(K32+M32)/G32</f>
        <v/>
      </c>
      <c r="P32" s="10">
        <f>L32/G32</f>
        <v/>
      </c>
      <c r="Q32" s="10">
        <f>N32*D32/1000</f>
        <v/>
      </c>
      <c r="R32" s="11">
        <f>K32*D32/1000</f>
        <v/>
      </c>
      <c r="S32" s="11">
        <f>L32*D32/1000</f>
        <v/>
      </c>
    </row>
    <row r="33" ht="46.5" customHeight="1">
      <c r="A33" s="25" t="inlineStr">
        <is>
          <t>LAJE</t>
        </is>
      </c>
      <c r="B33" s="25" t="inlineStr">
        <is>
          <t>L-1032A = L-2008 =L-3008 = L-4008</t>
        </is>
      </c>
      <c r="C33" s="25" t="inlineStr">
        <is>
          <t>L1032A=L2008=L3008=L4008-FORMA E ARMAÇÃO-R00</t>
        </is>
      </c>
      <c r="D33" s="25" t="n">
        <v>4</v>
      </c>
      <c r="E33" s="25" t="inlineStr">
        <is>
          <t>16x81</t>
        </is>
      </c>
      <c r="F33" s="25" t="n">
        <v>439</v>
      </c>
      <c r="G33" s="25" t="n">
        <v>0.35</v>
      </c>
      <c r="H33" s="25">
        <f>G33*D33</f>
        <v/>
      </c>
      <c r="I33" s="25" t="n">
        <v>45</v>
      </c>
      <c r="J33" s="25" t="n">
        <v>31.5</v>
      </c>
      <c r="K33" s="37" t="n">
        <v>0</v>
      </c>
      <c r="L33" s="37" t="n">
        <v>9.68</v>
      </c>
      <c r="M33" s="37" t="n"/>
      <c r="N33" s="10">
        <f>G33*2400+K33+L33+M33</f>
        <v/>
      </c>
      <c r="O33" s="10">
        <f>(K33+M33)/G33</f>
        <v/>
      </c>
      <c r="P33" s="10">
        <f>L33/G33</f>
        <v/>
      </c>
      <c r="Q33" s="10">
        <f>N33*D33/1000</f>
        <v/>
      </c>
      <c r="R33" s="11">
        <f>K33*D33/1000</f>
        <v/>
      </c>
      <c r="S33" s="11">
        <f>L33*D33/1000</f>
        <v/>
      </c>
    </row>
    <row r="34" ht="46.5" customHeight="1">
      <c r="A34" s="25" t="inlineStr">
        <is>
          <t>LAJE</t>
        </is>
      </c>
      <c r="B34" s="25" t="inlineStr">
        <is>
          <t>L-1033 = L-2009 = L-3009 = L-4009</t>
        </is>
      </c>
      <c r="C34" s="25" t="inlineStr">
        <is>
          <t>L1033=L2009=L3009=L4009-FORMA E ARMAÇÃO-R00</t>
        </is>
      </c>
      <c r="D34" s="25" t="n">
        <v>4</v>
      </c>
      <c r="E34" s="25" t="inlineStr">
        <is>
          <t>16x125</t>
        </is>
      </c>
      <c r="F34" s="25" t="n">
        <v>439</v>
      </c>
      <c r="G34" s="25" t="n">
        <v>0.54</v>
      </c>
      <c r="H34" s="25">
        <f>G34*D34</f>
        <v/>
      </c>
      <c r="I34" s="25" t="n">
        <v>45</v>
      </c>
      <c r="J34" s="25" t="n">
        <v>31.5</v>
      </c>
      <c r="K34" s="37" t="n">
        <v>0</v>
      </c>
      <c r="L34" s="37" t="n">
        <v>9.68</v>
      </c>
      <c r="M34" s="37" t="n"/>
      <c r="N34" s="10">
        <f>G34*2400+K34+L34+M34</f>
        <v/>
      </c>
      <c r="O34" s="10">
        <f>(K34+M34)/G34</f>
        <v/>
      </c>
      <c r="P34" s="10">
        <f>L34/G34</f>
        <v/>
      </c>
      <c r="Q34" s="10">
        <f>N34*D34/1000</f>
        <v/>
      </c>
      <c r="R34" s="11">
        <f>K34*D34/1000</f>
        <v/>
      </c>
      <c r="S34" s="11">
        <f>L34*D34/1000</f>
        <v/>
      </c>
    </row>
    <row r="35" ht="46.5" customHeight="1">
      <c r="A35" s="25" t="inlineStr">
        <is>
          <t>LAJE</t>
        </is>
      </c>
      <c r="B35" s="25" t="inlineStr">
        <is>
          <t>L-1034 = L-2010 = L-3010 = L-4010</t>
        </is>
      </c>
      <c r="C35" s="25" t="inlineStr">
        <is>
          <t>L1034=L2010=L3010=L4010-FORMA E ARMAÇÃO-R00</t>
        </is>
      </c>
      <c r="D35" s="25" t="n">
        <v>32</v>
      </c>
      <c r="E35" s="25" t="inlineStr">
        <is>
          <t>16x125</t>
        </is>
      </c>
      <c r="F35" s="25" t="n">
        <v>632</v>
      </c>
      <c r="G35" s="25" t="n">
        <v>0.78</v>
      </c>
      <c r="H35" s="25">
        <f>G35*D35</f>
        <v/>
      </c>
      <c r="I35" s="25" t="n">
        <v>45</v>
      </c>
      <c r="J35" s="25" t="n">
        <v>31.5</v>
      </c>
      <c r="K35" s="37" t="n">
        <v>0</v>
      </c>
      <c r="L35" s="37" t="n">
        <v>19.51</v>
      </c>
      <c r="M35" s="37" t="n"/>
      <c r="N35" s="10">
        <f>G35*2400+K35+L35+M35</f>
        <v/>
      </c>
      <c r="O35" s="10">
        <f>(K35+M35)/G35</f>
        <v/>
      </c>
      <c r="P35" s="10">
        <f>L35/G35</f>
        <v/>
      </c>
      <c r="Q35" s="10">
        <f>N35*D35/1000</f>
        <v/>
      </c>
      <c r="R35" s="11">
        <f>K35*D35/1000</f>
        <v/>
      </c>
      <c r="S35" s="11">
        <f>L35*D35/1000</f>
        <v/>
      </c>
    </row>
    <row r="36" ht="46.5" customHeight="1">
      <c r="A36" s="25" t="inlineStr">
        <is>
          <t>LAJE</t>
        </is>
      </c>
      <c r="B36" s="25" t="inlineStr">
        <is>
          <t>L-1035 = L-2011 = L-3011 = L-4011</t>
        </is>
      </c>
      <c r="C36" s="25" t="inlineStr">
        <is>
          <t>L1035=L2011=L3011=L4011-FORMA E ARMAÇÃO-R00</t>
        </is>
      </c>
      <c r="D36" s="25" t="n">
        <v>4</v>
      </c>
      <c r="E36" s="25" t="inlineStr">
        <is>
          <t>16x84</t>
        </is>
      </c>
      <c r="F36" s="25" t="n">
        <v>632</v>
      </c>
      <c r="G36" s="25" t="n">
        <v>0.52</v>
      </c>
      <c r="H36" s="25">
        <f>G36*D36</f>
        <v/>
      </c>
      <c r="I36" s="25" t="n">
        <v>45</v>
      </c>
      <c r="J36" s="25" t="n">
        <v>31.5</v>
      </c>
      <c r="K36" s="37" t="n">
        <v>0</v>
      </c>
      <c r="L36" s="37" t="n">
        <v>19.51</v>
      </c>
      <c r="M36" s="37" t="n"/>
      <c r="N36" s="10">
        <f>G36*2400+K36+L36+M36</f>
        <v/>
      </c>
      <c r="O36" s="10">
        <f>(K36+M36)/G36</f>
        <v/>
      </c>
      <c r="P36" s="10">
        <f>L36/G36</f>
        <v/>
      </c>
      <c r="Q36" s="10">
        <f>N36*D36/1000</f>
        <v/>
      </c>
      <c r="R36" s="11">
        <f>K36*D36/1000</f>
        <v/>
      </c>
      <c r="S36" s="11">
        <f>L36*D36/1000</f>
        <v/>
      </c>
    </row>
    <row r="37" ht="46.5" customHeight="1">
      <c r="A37" s="25" t="inlineStr">
        <is>
          <t>LAJE</t>
        </is>
      </c>
      <c r="B37" s="25" t="inlineStr">
        <is>
          <t>L-1036 = L-2012 = L-3012 = L-4012</t>
        </is>
      </c>
      <c r="C37" s="25" t="inlineStr">
        <is>
          <t>L1036=L2012=L3012=L4012-FORMA E ARMAÇÃO-R00</t>
        </is>
      </c>
      <c r="D37" s="25" t="n">
        <v>4</v>
      </c>
      <c r="E37" s="25" t="inlineStr">
        <is>
          <t>16x70</t>
        </is>
      </c>
      <c r="F37" s="25" t="n">
        <v>632</v>
      </c>
      <c r="G37" s="25" t="n">
        <v>0.43</v>
      </c>
      <c r="H37" s="25">
        <f>G37*D37</f>
        <v/>
      </c>
      <c r="I37" s="25" t="n">
        <v>45</v>
      </c>
      <c r="J37" s="25" t="n">
        <v>31.5</v>
      </c>
      <c r="K37" s="37" t="n">
        <v>0</v>
      </c>
      <c r="L37" s="37" t="n">
        <v>19.51</v>
      </c>
      <c r="M37" s="37" t="n"/>
      <c r="N37" s="10">
        <f>G37*2400+K37+L37+M37</f>
        <v/>
      </c>
      <c r="O37" s="10">
        <f>(K37+M37)/G37</f>
        <v/>
      </c>
      <c r="P37" s="10">
        <f>L37/G37</f>
        <v/>
      </c>
      <c r="Q37" s="10">
        <f>N37*D37/1000</f>
        <v/>
      </c>
      <c r="R37" s="11">
        <f>K37*D37/1000</f>
        <v/>
      </c>
      <c r="S37" s="11">
        <f>L37*D37/1000</f>
        <v/>
      </c>
    </row>
    <row r="38" ht="46.5" customHeight="1">
      <c r="A38" s="25" t="inlineStr">
        <is>
          <t>LAJE</t>
        </is>
      </c>
      <c r="B38" s="25" t="inlineStr">
        <is>
          <t>L-1037 = L-2013 = L-3013 = L-4013</t>
        </is>
      </c>
      <c r="C38" s="25" t="inlineStr">
        <is>
          <t>L1037=L2013=L3013=L4013-FORMA E ARMAÇÃO-R00</t>
        </is>
      </c>
      <c r="D38" s="25" t="n">
        <v>4</v>
      </c>
      <c r="E38" s="25" t="inlineStr">
        <is>
          <t>16x125</t>
        </is>
      </c>
      <c r="F38" s="25" t="n">
        <v>632</v>
      </c>
      <c r="G38" s="25" t="n">
        <v>0.77</v>
      </c>
      <c r="H38" s="25">
        <f>G38*D38</f>
        <v/>
      </c>
      <c r="I38" s="25" t="n">
        <v>45</v>
      </c>
      <c r="J38" s="25" t="n">
        <v>31.5</v>
      </c>
      <c r="K38" s="37" t="n">
        <v>0</v>
      </c>
      <c r="L38" s="37" t="n">
        <v>19.51</v>
      </c>
      <c r="M38" s="37" t="n"/>
      <c r="N38" s="10">
        <f>G38*2400+K38+L38+M38</f>
        <v/>
      </c>
      <c r="O38" s="10">
        <f>(K38+M38)/G38</f>
        <v/>
      </c>
      <c r="P38" s="10">
        <f>L38/G38</f>
        <v/>
      </c>
      <c r="Q38" s="10">
        <f>N38*D38/1000</f>
        <v/>
      </c>
      <c r="R38" s="11">
        <f>K38*D38/1000</f>
        <v/>
      </c>
      <c r="S38" s="11">
        <f>L38*D38/1000</f>
        <v/>
      </c>
    </row>
    <row r="39" ht="46.5" customHeight="1">
      <c r="A39" s="25" t="inlineStr">
        <is>
          <t>LAJE</t>
        </is>
      </c>
      <c r="B39" s="25" t="inlineStr">
        <is>
          <t>L-1038 = L-2041 = L-3041 = L-4041</t>
        </is>
      </c>
      <c r="C39" s="25" t="inlineStr">
        <is>
          <t>L1038=L2041=L3041=L4041-FORMA E ARMAÇÃO-R00</t>
        </is>
      </c>
      <c r="D39" s="25" t="n">
        <v>4</v>
      </c>
      <c r="E39" s="25" t="inlineStr">
        <is>
          <t>16x125</t>
        </is>
      </c>
      <c r="F39" s="25" t="n">
        <v>741</v>
      </c>
      <c r="G39" s="25" t="n">
        <v>0.91</v>
      </c>
      <c r="H39" s="25">
        <f>G39*D39</f>
        <v/>
      </c>
      <c r="I39" s="25" t="n">
        <v>45</v>
      </c>
      <c r="J39" s="25" t="n">
        <v>31.5</v>
      </c>
      <c r="K39" s="37" t="n">
        <v>0</v>
      </c>
      <c r="L39" s="37" t="n">
        <v>22.87</v>
      </c>
      <c r="M39" s="37" t="n"/>
      <c r="N39" s="10">
        <f>G39*2400+K39+L39+M39</f>
        <v/>
      </c>
      <c r="O39" s="10">
        <f>(K39+M39)/G39</f>
        <v/>
      </c>
      <c r="P39" s="10">
        <f>L39/G39</f>
        <v/>
      </c>
      <c r="Q39" s="10">
        <f>N39*D39/1000</f>
        <v/>
      </c>
      <c r="R39" s="11">
        <f>K39*D39/1000</f>
        <v/>
      </c>
      <c r="S39" s="11">
        <f>L39*D39/1000</f>
        <v/>
      </c>
    </row>
    <row r="40" ht="46.5" customHeight="1">
      <c r="A40" s="25" t="inlineStr">
        <is>
          <t>LAJE</t>
        </is>
      </c>
      <c r="B40" s="25" t="inlineStr">
        <is>
          <t>L-1039 = L-2042 = L-3042 = L-4042</t>
        </is>
      </c>
      <c r="C40" s="25" t="inlineStr">
        <is>
          <t>L1039=L2042=L3042=L4042-FORMA E ARMAÇÃO-R00</t>
        </is>
      </c>
      <c r="D40" s="25" t="n">
        <v>4</v>
      </c>
      <c r="E40" s="25" t="inlineStr">
        <is>
          <t>16x96.5</t>
        </is>
      </c>
      <c r="F40" s="25" t="n">
        <v>741</v>
      </c>
      <c r="G40" s="25" t="n">
        <v>0.71</v>
      </c>
      <c r="H40" s="25">
        <f>G40*D40</f>
        <v/>
      </c>
      <c r="I40" s="25" t="n">
        <v>45</v>
      </c>
      <c r="J40" s="25" t="n">
        <v>31.5</v>
      </c>
      <c r="K40" s="37" t="n">
        <v>0</v>
      </c>
      <c r="L40" s="37" t="n">
        <v>22.87</v>
      </c>
      <c r="M40" s="37" t="n"/>
      <c r="N40" s="10">
        <f>G40*2400+K40+L40+M40</f>
        <v/>
      </c>
      <c r="O40" s="10">
        <f>(K40+M40)/G40</f>
        <v/>
      </c>
      <c r="P40" s="10">
        <f>L40/G40</f>
        <v/>
      </c>
      <c r="Q40" s="10">
        <f>N40*D40/1000</f>
        <v/>
      </c>
      <c r="R40" s="11">
        <f>K40*D40/1000</f>
        <v/>
      </c>
      <c r="S40" s="11">
        <f>L40*D40/1000</f>
        <v/>
      </c>
    </row>
    <row r="41" ht="46.5" customHeight="1">
      <c r="A41" s="25" t="inlineStr">
        <is>
          <t>LAJE</t>
        </is>
      </c>
      <c r="B41" s="25" t="inlineStr">
        <is>
          <t>L-1040 = L-2043 = L-3043 = L-4043</t>
        </is>
      </c>
      <c r="C41" s="25" t="inlineStr">
        <is>
          <t>L1040=L2043=L3043=L4043-FORMA E ARMAÇÃO-R00</t>
        </is>
      </c>
      <c r="D41" s="25" t="n">
        <v>8</v>
      </c>
      <c r="E41" s="25" t="inlineStr">
        <is>
          <t>16x125</t>
        </is>
      </c>
      <c r="F41" s="25" t="n">
        <v>741</v>
      </c>
      <c r="G41" s="25" t="n">
        <v>0.92</v>
      </c>
      <c r="H41" s="25">
        <f>G41*D41</f>
        <v/>
      </c>
      <c r="I41" s="25" t="n">
        <v>45</v>
      </c>
      <c r="J41" s="25" t="n">
        <v>31.5</v>
      </c>
      <c r="K41" s="37" t="n">
        <v>0</v>
      </c>
      <c r="L41" s="37" t="n">
        <v>22.87</v>
      </c>
      <c r="M41" s="37" t="n"/>
      <c r="N41" s="10">
        <f>G41*2400+K41+L41+M41</f>
        <v/>
      </c>
      <c r="O41" s="10">
        <f>(K41+M41)/G41</f>
        <v/>
      </c>
      <c r="P41" s="10">
        <f>L41/G41</f>
        <v/>
      </c>
      <c r="Q41" s="10">
        <f>N41*D41/1000</f>
        <v/>
      </c>
      <c r="R41" s="11">
        <f>K41*D41/1000</f>
        <v/>
      </c>
      <c r="S41" s="11">
        <f>L41*D41/1000</f>
        <v/>
      </c>
    </row>
    <row r="42" ht="46.5" customHeight="1">
      <c r="A42" s="25" t="inlineStr">
        <is>
          <t>LAJE</t>
        </is>
      </c>
      <c r="B42" s="25" t="inlineStr">
        <is>
          <t>L-1041 = L2044 = L3044 = L-4044</t>
        </is>
      </c>
      <c r="C42" s="25" t="inlineStr">
        <is>
          <t>L1041=L2044=L3044=L-4044-FORMA E ARMAÇÃO-R00</t>
        </is>
      </c>
      <c r="D42" s="25" t="n">
        <v>8</v>
      </c>
      <c r="E42" s="25" t="inlineStr">
        <is>
          <t>16x65</t>
        </is>
      </c>
      <c r="F42" s="25" t="n">
        <v>741</v>
      </c>
      <c r="G42" s="25" t="n">
        <v>0.47</v>
      </c>
      <c r="H42" s="25">
        <f>G42*D42</f>
        <v/>
      </c>
      <c r="I42" s="25" t="n">
        <v>45</v>
      </c>
      <c r="J42" s="25" t="n">
        <v>31.5</v>
      </c>
      <c r="K42" s="37" t="n">
        <v>0</v>
      </c>
      <c r="L42" s="37" t="n">
        <v>22.87</v>
      </c>
      <c r="M42" s="37" t="n"/>
      <c r="N42" s="10">
        <f>G42*2400+K42+L42+M42</f>
        <v/>
      </c>
      <c r="O42" s="10">
        <f>(K42+M42)/G42</f>
        <v/>
      </c>
      <c r="P42" s="10">
        <f>L42/G42</f>
        <v/>
      </c>
      <c r="Q42" s="10">
        <f>N42*D42/1000</f>
        <v/>
      </c>
      <c r="R42" s="11">
        <f>K42*D42/1000</f>
        <v/>
      </c>
      <c r="S42" s="11">
        <f>L42*D42/1000</f>
        <v/>
      </c>
    </row>
    <row r="43" ht="46.5" customHeight="1">
      <c r="A43" s="25" t="inlineStr">
        <is>
          <t>LAJE</t>
        </is>
      </c>
      <c r="B43" s="25" t="inlineStr">
        <is>
          <t>L-1042 = L-2045 = L-3045 = L-4045</t>
        </is>
      </c>
      <c r="C43" s="25" t="inlineStr">
        <is>
          <t>L1042= L2045= L3045= L4045-FORMA E ARMAÇÃO-R00</t>
        </is>
      </c>
      <c r="D43" s="25" t="n">
        <v>4</v>
      </c>
      <c r="E43" s="25" t="inlineStr">
        <is>
          <t>16x125</t>
        </is>
      </c>
      <c r="F43" s="25" t="n">
        <v>741</v>
      </c>
      <c r="G43" s="25" t="n">
        <v>0.91</v>
      </c>
      <c r="H43" s="25">
        <f>G43*D43</f>
        <v/>
      </c>
      <c r="I43" s="25" t="n">
        <v>45</v>
      </c>
      <c r="J43" s="25" t="n">
        <v>31.5</v>
      </c>
      <c r="K43" s="37" t="n">
        <v>0</v>
      </c>
      <c r="L43" s="37" t="n">
        <v>22.87</v>
      </c>
      <c r="M43" s="37" t="n"/>
      <c r="N43" s="10">
        <f>G43*2400+K43+L43+M43</f>
        <v/>
      </c>
      <c r="O43" s="10">
        <f>(K43+M43)/G43</f>
        <v/>
      </c>
      <c r="P43" s="10">
        <f>L43/G43</f>
        <v/>
      </c>
      <c r="Q43" s="10">
        <f>N43*D43/1000</f>
        <v/>
      </c>
      <c r="R43" s="11">
        <f>K43*D43/1000</f>
        <v/>
      </c>
      <c r="S43" s="11">
        <f>L43*D43/1000</f>
        <v/>
      </c>
    </row>
    <row r="44" ht="46.5" customHeight="1">
      <c r="A44" s="25" t="inlineStr">
        <is>
          <t>LAJE</t>
        </is>
      </c>
      <c r="B44" s="25" t="inlineStr">
        <is>
          <t>L-1043</t>
        </is>
      </c>
      <c r="C44" s="25" t="inlineStr">
        <is>
          <t>L1043-FORMA E ARMAÇÃO-R00</t>
        </is>
      </c>
      <c r="D44" s="25" t="n">
        <v>1</v>
      </c>
      <c r="E44" s="25" t="inlineStr">
        <is>
          <t>16x125</t>
        </is>
      </c>
      <c r="F44" s="25" t="n">
        <v>510</v>
      </c>
      <c r="G44" s="25" t="n">
        <v>0.63</v>
      </c>
      <c r="H44" s="25">
        <f>G44*D44</f>
        <v/>
      </c>
      <c r="I44" s="25" t="n">
        <v>45</v>
      </c>
      <c r="J44" s="25" t="n">
        <v>31.5</v>
      </c>
      <c r="K44" s="37" t="n">
        <v>0</v>
      </c>
      <c r="L44" s="37" t="n">
        <v>15.74</v>
      </c>
      <c r="M44" s="37" t="n"/>
      <c r="N44" s="10">
        <f>G44*2400+K44+L44+M44</f>
        <v/>
      </c>
      <c r="O44" s="10">
        <f>(K44+M44)/G44</f>
        <v/>
      </c>
      <c r="P44" s="10">
        <f>L44/G44</f>
        <v/>
      </c>
      <c r="Q44" s="10">
        <f>N44*D44/1000</f>
        <v/>
      </c>
      <c r="R44" s="11">
        <f>K44*D44/1000</f>
        <v/>
      </c>
      <c r="S44" s="11">
        <f>L44*D44/1000</f>
        <v/>
      </c>
    </row>
    <row r="45" ht="46.5" customHeight="1">
      <c r="A45" s="25" t="inlineStr">
        <is>
          <t>LAJE</t>
        </is>
      </c>
      <c r="B45" s="25" t="inlineStr">
        <is>
          <t>L-1044</t>
        </is>
      </c>
      <c r="C45" s="25" t="inlineStr">
        <is>
          <t>L1044-FORMA E ARMAÇÃO-R00</t>
        </is>
      </c>
      <c r="D45" s="25" t="n">
        <v>1</v>
      </c>
      <c r="E45" s="25" t="inlineStr">
        <is>
          <t>16x96.5</t>
        </is>
      </c>
      <c r="F45" s="25" t="n">
        <v>510</v>
      </c>
      <c r="G45" s="25" t="n">
        <v>0.49</v>
      </c>
      <c r="H45" s="25">
        <f>G45*D45</f>
        <v/>
      </c>
      <c r="I45" s="25" t="n">
        <v>45</v>
      </c>
      <c r="J45" s="25" t="n">
        <v>31.5</v>
      </c>
      <c r="K45" s="37" t="n">
        <v>0</v>
      </c>
      <c r="L45" s="37" t="n">
        <v>15.74</v>
      </c>
      <c r="M45" s="37" t="n"/>
      <c r="N45" s="10">
        <f>G45*2400+K45+L45+M45</f>
        <v/>
      </c>
      <c r="O45" s="10">
        <f>(K45+M45)/G45</f>
        <v/>
      </c>
      <c r="P45" s="10">
        <f>L45/G45</f>
        <v/>
      </c>
      <c r="Q45" s="10">
        <f>N45*D45/1000</f>
        <v/>
      </c>
      <c r="R45" s="11">
        <f>K45*D45/1000</f>
        <v/>
      </c>
      <c r="S45" s="11">
        <f>L45*D45/1000</f>
        <v/>
      </c>
    </row>
    <row r="46" ht="46.5" customHeight="1">
      <c r="A46" s="25" t="inlineStr">
        <is>
          <t>LAJE</t>
        </is>
      </c>
      <c r="B46" s="25" t="inlineStr">
        <is>
          <t>L-1045</t>
        </is>
      </c>
      <c r="C46" s="25" t="inlineStr">
        <is>
          <t>L1045-FORMA E ARMAÇÃO-R00</t>
        </is>
      </c>
      <c r="D46" s="25" t="n">
        <v>2</v>
      </c>
      <c r="E46" s="25" t="inlineStr">
        <is>
          <t>16x125</t>
        </is>
      </c>
      <c r="F46" s="25" t="n">
        <v>510</v>
      </c>
      <c r="G46" s="25" t="n">
        <v>0.63</v>
      </c>
      <c r="H46" s="25">
        <f>G46*D46</f>
        <v/>
      </c>
      <c r="I46" s="25" t="n">
        <v>45</v>
      </c>
      <c r="J46" s="25" t="n">
        <v>31.5</v>
      </c>
      <c r="K46" s="37" t="n">
        <v>0</v>
      </c>
      <c r="L46" s="37" t="n">
        <v>15.74</v>
      </c>
      <c r="M46" s="37" t="n"/>
      <c r="N46" s="10">
        <f>G46*2400+K46+L46+M46</f>
        <v/>
      </c>
      <c r="O46" s="10">
        <f>(K46+M46)/G46</f>
        <v/>
      </c>
      <c r="P46" s="10">
        <f>L46/G46</f>
        <v/>
      </c>
      <c r="Q46" s="10">
        <f>N46*D46/1000</f>
        <v/>
      </c>
      <c r="R46" s="11">
        <f>K46*D46/1000</f>
        <v/>
      </c>
      <c r="S46" s="11">
        <f>L46*D46/1000</f>
        <v/>
      </c>
    </row>
    <row r="47" ht="46.5" customHeight="1">
      <c r="A47" s="25" t="inlineStr">
        <is>
          <t>LAJE</t>
        </is>
      </c>
      <c r="B47" s="25" t="inlineStr">
        <is>
          <t>L-1046</t>
        </is>
      </c>
      <c r="C47" s="25" t="inlineStr">
        <is>
          <t>L1046-FORMA E ARMAÇÃO-R00</t>
        </is>
      </c>
      <c r="D47" s="25" t="n">
        <v>2</v>
      </c>
      <c r="E47" s="25" t="inlineStr">
        <is>
          <t>16x65</t>
        </is>
      </c>
      <c r="F47" s="25" t="n">
        <v>510</v>
      </c>
      <c r="G47" s="25" t="n">
        <v>0.32</v>
      </c>
      <c r="H47" s="25">
        <f>G47*D47</f>
        <v/>
      </c>
      <c r="I47" s="25" t="n">
        <v>45</v>
      </c>
      <c r="J47" s="25" t="n">
        <v>31.5</v>
      </c>
      <c r="K47" s="37" t="n">
        <v>0</v>
      </c>
      <c r="L47" s="37" t="n">
        <v>15.74</v>
      </c>
      <c r="M47" s="37" t="n"/>
      <c r="N47" s="10">
        <f>G47*2400+K47+L47+M47</f>
        <v/>
      </c>
      <c r="O47" s="10">
        <f>(K47+M47)/G47</f>
        <v/>
      </c>
      <c r="P47" s="10">
        <f>L47/G47</f>
        <v/>
      </c>
      <c r="Q47" s="10">
        <f>N47*D47/1000</f>
        <v/>
      </c>
      <c r="R47" s="11">
        <f>K47*D47/1000</f>
        <v/>
      </c>
      <c r="S47" s="11">
        <f>L47*D47/1000</f>
        <v/>
      </c>
    </row>
    <row r="48" ht="46.5" customHeight="1">
      <c r="A48" s="25" t="inlineStr">
        <is>
          <t>LAJE</t>
        </is>
      </c>
      <c r="B48" s="25" t="inlineStr">
        <is>
          <t>L-1047</t>
        </is>
      </c>
      <c r="C48" s="25" t="inlineStr">
        <is>
          <t>L1047-FORMA E ARMAÇÃO-R00</t>
        </is>
      </c>
      <c r="D48" s="25" t="n">
        <v>1</v>
      </c>
      <c r="E48" s="25" t="inlineStr">
        <is>
          <t>16x125</t>
        </is>
      </c>
      <c r="F48" s="25" t="n">
        <v>510</v>
      </c>
      <c r="G48" s="25" t="n">
        <v>0.63</v>
      </c>
      <c r="H48" s="25">
        <f>G48*D48</f>
        <v/>
      </c>
      <c r="I48" s="25" t="n">
        <v>45</v>
      </c>
      <c r="J48" s="25" t="n">
        <v>31.5</v>
      </c>
      <c r="K48" s="37" t="n">
        <v>0</v>
      </c>
      <c r="L48" s="37" t="n">
        <v>15.74</v>
      </c>
      <c r="M48" s="37" t="n"/>
      <c r="N48" s="10">
        <f>G48*2400+K48+L48+M48</f>
        <v/>
      </c>
      <c r="O48" s="10">
        <f>(K48+M48)/G48</f>
        <v/>
      </c>
      <c r="P48" s="10">
        <f>L48/G48</f>
        <v/>
      </c>
      <c r="Q48" s="10">
        <f>N48*D48/1000</f>
        <v/>
      </c>
      <c r="R48" s="11">
        <f>K48*D48/1000</f>
        <v/>
      </c>
      <c r="S48" s="11">
        <f>L48*D48/1000</f>
        <v/>
      </c>
    </row>
    <row r="49" ht="46.5" customHeight="1">
      <c r="A49" s="25" t="inlineStr">
        <is>
          <t>LAJE</t>
        </is>
      </c>
      <c r="B49" s="25" t="inlineStr">
        <is>
          <t>L-1054 = L-2032 = L-3032 = L-4032</t>
        </is>
      </c>
      <c r="C49" s="25" t="inlineStr">
        <is>
          <t>L1054=L2032=L3032=L4032-FORMA E ARMAÇÃO-R00</t>
        </is>
      </c>
      <c r="D49" s="25" t="n">
        <v>60</v>
      </c>
      <c r="E49" s="25" t="inlineStr">
        <is>
          <t>21x125</t>
        </is>
      </c>
      <c r="F49" s="25" t="n">
        <v>917</v>
      </c>
      <c r="G49" s="25" t="n">
        <v>1.37</v>
      </c>
      <c r="H49" s="25">
        <f>G49*D49</f>
        <v/>
      </c>
      <c r="I49" s="25" t="n">
        <v>45</v>
      </c>
      <c r="J49" s="25" t="n">
        <v>31.5</v>
      </c>
      <c r="K49" s="37" t="n">
        <v>0</v>
      </c>
      <c r="L49" s="37" t="n">
        <v>43.58</v>
      </c>
      <c r="M49" s="37" t="n"/>
      <c r="N49" s="10">
        <f>G49*2400+K49+L49+M49</f>
        <v/>
      </c>
      <c r="O49" s="10">
        <f>(K49+M49)/G49</f>
        <v/>
      </c>
      <c r="P49" s="10">
        <f>L49/G49</f>
        <v/>
      </c>
      <c r="Q49" s="10">
        <f>N49*D49/1000</f>
        <v/>
      </c>
      <c r="R49" s="11">
        <f>K49*D49/1000</f>
        <v/>
      </c>
      <c r="S49" s="11">
        <f>L49*D49/1000</f>
        <v/>
      </c>
    </row>
    <row r="50" ht="46.5" customHeight="1">
      <c r="A50" s="25" t="inlineStr">
        <is>
          <t>LAJE</t>
        </is>
      </c>
      <c r="B50" s="25" t="inlineStr">
        <is>
          <t>L-1055 = L-2033 = L-3033 = L-4033</t>
        </is>
      </c>
      <c r="C50" s="25" t="inlineStr">
        <is>
          <t>L1055=L2033=L3033=L4033-FORMA E ARMAÇÃO-R00</t>
        </is>
      </c>
      <c r="D50" s="25" t="n">
        <v>4</v>
      </c>
      <c r="E50" s="25" t="inlineStr">
        <is>
          <t>21x125</t>
        </is>
      </c>
      <c r="F50" s="25" t="n">
        <v>917</v>
      </c>
      <c r="G50" s="25" t="n">
        <v>1.35</v>
      </c>
      <c r="H50" s="25">
        <f>G50*D50</f>
        <v/>
      </c>
      <c r="I50" s="25" t="n">
        <v>45</v>
      </c>
      <c r="J50" s="25" t="n">
        <v>31.5</v>
      </c>
      <c r="K50" s="37" t="n">
        <v>0</v>
      </c>
      <c r="L50" s="37" t="n">
        <v>43.58</v>
      </c>
      <c r="M50" s="37" t="n"/>
      <c r="N50" s="10">
        <f>G50*2400+K50+L50+M50</f>
        <v/>
      </c>
      <c r="O50" s="10">
        <f>(K50+M50)/G50</f>
        <v/>
      </c>
      <c r="P50" s="10">
        <f>L50/G50</f>
        <v/>
      </c>
      <c r="Q50" s="10">
        <f>N50*D50/1000</f>
        <v/>
      </c>
      <c r="R50" s="11">
        <f>K50*D50/1000</f>
        <v/>
      </c>
      <c r="S50" s="11">
        <f>L50*D50/1000</f>
        <v/>
      </c>
    </row>
    <row r="51" ht="46.5" customHeight="1">
      <c r="A51" s="25" t="inlineStr">
        <is>
          <t>LAJE</t>
        </is>
      </c>
      <c r="B51" s="25" t="inlineStr">
        <is>
          <t>L-1056 = L-2034 = L-3034 = L-4034</t>
        </is>
      </c>
      <c r="C51" s="25" t="inlineStr">
        <is>
          <t>L1056=L2034=L3034=L4034-FORMA E ARMAÇÃO-R00</t>
        </is>
      </c>
      <c r="D51" s="25" t="n">
        <v>4</v>
      </c>
      <c r="E51" s="25" t="inlineStr">
        <is>
          <t>21x125</t>
        </is>
      </c>
      <c r="F51" s="25" t="n">
        <v>917</v>
      </c>
      <c r="G51" s="25" t="n">
        <v>1.36</v>
      </c>
      <c r="H51" s="25">
        <f>G51*D51</f>
        <v/>
      </c>
      <c r="I51" s="25" t="n">
        <v>45</v>
      </c>
      <c r="J51" s="25" t="n">
        <v>31.5</v>
      </c>
      <c r="K51" s="37" t="n">
        <v>0</v>
      </c>
      <c r="L51" s="37" t="n">
        <v>43.58</v>
      </c>
      <c r="M51" s="37" t="n"/>
      <c r="N51" s="10">
        <f>G51*2400+K51+L51+M51</f>
        <v/>
      </c>
      <c r="O51" s="10">
        <f>(K51+M51)/G51</f>
        <v/>
      </c>
      <c r="P51" s="10">
        <f>L51/G51</f>
        <v/>
      </c>
      <c r="Q51" s="10">
        <f>N51*D51/1000</f>
        <v/>
      </c>
      <c r="R51" s="11">
        <f>K51*D51/1000</f>
        <v/>
      </c>
      <c r="S51" s="11">
        <f>L51*D51/1000</f>
        <v/>
      </c>
    </row>
    <row r="52" ht="46.5" customHeight="1">
      <c r="A52" s="25" t="inlineStr">
        <is>
          <t>LAJE</t>
        </is>
      </c>
      <c r="B52" s="25" t="inlineStr">
        <is>
          <t>L-1057 = L-2035 = L-3035 = L-4035</t>
        </is>
      </c>
      <c r="C52" s="25" t="inlineStr">
        <is>
          <t>L1057=L2035=L3035=L4035-FORMA E ARMAÇÃO-R00</t>
        </is>
      </c>
      <c r="D52" s="25" t="n">
        <v>4</v>
      </c>
      <c r="E52" s="25" t="inlineStr">
        <is>
          <t>21x125</t>
        </is>
      </c>
      <c r="F52" s="25" t="n">
        <v>917</v>
      </c>
      <c r="G52" s="25" t="n">
        <v>1.36</v>
      </c>
      <c r="H52" s="25">
        <f>G52*D52</f>
        <v/>
      </c>
      <c r="I52" s="25" t="n">
        <v>45</v>
      </c>
      <c r="J52" s="25" t="n">
        <v>31.5</v>
      </c>
      <c r="K52" s="37" t="n">
        <v>0</v>
      </c>
      <c r="L52" s="37" t="n">
        <v>43.58</v>
      </c>
      <c r="M52" s="37" t="n"/>
      <c r="N52" s="10">
        <f>G52*2400+K52+L52+M52</f>
        <v/>
      </c>
      <c r="O52" s="10">
        <f>(K52+M52)/G52</f>
        <v/>
      </c>
      <c r="P52" s="10">
        <f>L52/G52</f>
        <v/>
      </c>
      <c r="Q52" s="10">
        <f>N52*D52/1000</f>
        <v/>
      </c>
      <c r="R52" s="11">
        <f>K52*D52/1000</f>
        <v/>
      </c>
      <c r="S52" s="11">
        <f>L52*D52/1000</f>
        <v/>
      </c>
    </row>
    <row r="53" ht="46.5" customHeight="1">
      <c r="A53" s="25" t="inlineStr">
        <is>
          <t>LAJE</t>
        </is>
      </c>
      <c r="B53" s="25" t="inlineStr">
        <is>
          <t>L-1058 = L-2036 = L-3036 = L-4036</t>
        </is>
      </c>
      <c r="C53" s="25" t="inlineStr">
        <is>
          <t>L1058=L2036=L3036=L4036-FORMA E ARMAÇÃO-R00</t>
        </is>
      </c>
      <c r="D53" s="25" t="n">
        <v>4</v>
      </c>
      <c r="E53" s="25" t="inlineStr">
        <is>
          <t>21x125</t>
        </is>
      </c>
      <c r="F53" s="25" t="n">
        <v>917</v>
      </c>
      <c r="G53" s="25" t="n">
        <v>1.35</v>
      </c>
      <c r="H53" s="25">
        <f>G53*D53</f>
        <v/>
      </c>
      <c r="I53" s="25" t="n">
        <v>45</v>
      </c>
      <c r="J53" s="25" t="n">
        <v>31.5</v>
      </c>
      <c r="K53" s="37" t="n">
        <v>0</v>
      </c>
      <c r="L53" s="37" t="n">
        <v>43.58</v>
      </c>
      <c r="M53" s="37" t="n"/>
      <c r="N53" s="10">
        <f>G53*2400+K53+L53+M53</f>
        <v/>
      </c>
      <c r="O53" s="10">
        <f>(K53+M53)/G53</f>
        <v/>
      </c>
      <c r="P53" s="10">
        <f>L53/G53</f>
        <v/>
      </c>
      <c r="Q53" s="10">
        <f>N53*D53/1000</f>
        <v/>
      </c>
      <c r="R53" s="11">
        <f>K53*D53/1000</f>
        <v/>
      </c>
      <c r="S53" s="11">
        <f>L53*D53/1000</f>
        <v/>
      </c>
    </row>
    <row r="54" ht="46.5" customHeight="1">
      <c r="A54" s="25" t="inlineStr">
        <is>
          <t>LAJE</t>
        </is>
      </c>
      <c r="B54" s="25" t="inlineStr">
        <is>
          <t>L-1059 = L-2037 = L-3037 = L-4037</t>
        </is>
      </c>
      <c r="C54" s="25" t="inlineStr">
        <is>
          <t>L1059=L2037=L3037=L4037-FORMA E ARMAÇÃO-R00</t>
        </is>
      </c>
      <c r="D54" s="25" t="n">
        <v>4</v>
      </c>
      <c r="E54" s="25" t="inlineStr">
        <is>
          <t>21x125</t>
        </is>
      </c>
      <c r="F54" s="25" t="n">
        <v>917</v>
      </c>
      <c r="G54" s="25" t="n">
        <v>1.36</v>
      </c>
      <c r="H54" s="25">
        <f>G54*D54</f>
        <v/>
      </c>
      <c r="I54" s="25" t="n">
        <v>45</v>
      </c>
      <c r="J54" s="25" t="n">
        <v>31.5</v>
      </c>
      <c r="K54" s="37" t="n">
        <v>0</v>
      </c>
      <c r="L54" s="37" t="n">
        <v>43.58</v>
      </c>
      <c r="M54" s="37" t="n"/>
      <c r="N54" s="10">
        <f>G54*2400+K54+L54+M54</f>
        <v/>
      </c>
      <c r="O54" s="10">
        <f>(K54+M54)/G54</f>
        <v/>
      </c>
      <c r="P54" s="10">
        <f>L54/G54</f>
        <v/>
      </c>
      <c r="Q54" s="10">
        <f>N54*D54/1000</f>
        <v/>
      </c>
      <c r="R54" s="11">
        <f>K54*D54/1000</f>
        <v/>
      </c>
      <c r="S54" s="11">
        <f>L54*D54/1000</f>
        <v/>
      </c>
    </row>
    <row r="55" ht="46.5" customHeight="1">
      <c r="A55" s="25" t="inlineStr">
        <is>
          <t>LAJE</t>
        </is>
      </c>
      <c r="B55" s="25" t="inlineStr">
        <is>
          <t>L-1060 = L-2038 = L-3038 = L-4038</t>
        </is>
      </c>
      <c r="C55" s="25" t="inlineStr">
        <is>
          <t>L1060=L2038=L3038=L4038-FORMA E ARMAÇÃO-R00</t>
        </is>
      </c>
      <c r="D55" s="25" t="n">
        <v>4</v>
      </c>
      <c r="E55" s="25" t="inlineStr">
        <is>
          <t>21x125</t>
        </is>
      </c>
      <c r="F55" s="25" t="n">
        <v>917</v>
      </c>
      <c r="G55" s="25" t="n">
        <v>1.35</v>
      </c>
      <c r="H55" s="25">
        <f>G55*D55</f>
        <v/>
      </c>
      <c r="I55" s="25" t="n">
        <v>45</v>
      </c>
      <c r="J55" s="25" t="n">
        <v>31.5</v>
      </c>
      <c r="K55" s="37" t="n">
        <v>0</v>
      </c>
      <c r="L55" s="37" t="n">
        <v>43.58</v>
      </c>
      <c r="M55" s="37" t="n"/>
      <c r="N55" s="10">
        <f>G55*2400+K55+L55+M55</f>
        <v/>
      </c>
      <c r="O55" s="10">
        <f>(K55+M55)/G55</f>
        <v/>
      </c>
      <c r="P55" s="10">
        <f>L55/G55</f>
        <v/>
      </c>
      <c r="Q55" s="10">
        <f>N55*D55/1000</f>
        <v/>
      </c>
      <c r="R55" s="11">
        <f>K55*D55/1000</f>
        <v/>
      </c>
      <c r="S55" s="11">
        <f>L55*D55/1000</f>
        <v/>
      </c>
    </row>
    <row r="56" ht="46.5" customHeight="1">
      <c r="A56" s="25" t="inlineStr">
        <is>
          <t>LAJE</t>
        </is>
      </c>
      <c r="B56" s="25" t="inlineStr">
        <is>
          <t>L-1061 = L-2039 = L-3039 = L-4039</t>
        </is>
      </c>
      <c r="C56" s="25" t="inlineStr">
        <is>
          <t>L1061=L2039=L3039=L4039-FORMA E ARMAÇÃO-R00</t>
        </is>
      </c>
      <c r="D56" s="25" t="n">
        <v>12</v>
      </c>
      <c r="E56" s="25" t="inlineStr">
        <is>
          <t>21x68</t>
        </is>
      </c>
      <c r="F56" s="25" t="n">
        <v>917</v>
      </c>
      <c r="G56" s="25" t="n">
        <v>0.74</v>
      </c>
      <c r="H56" s="25">
        <f>G56*D56</f>
        <v/>
      </c>
      <c r="I56" s="25" t="n">
        <v>45</v>
      </c>
      <c r="J56" s="25" t="n">
        <v>31.5</v>
      </c>
      <c r="K56" s="37" t="n">
        <v>0</v>
      </c>
      <c r="L56" s="37" t="n">
        <v>43.58</v>
      </c>
      <c r="M56" s="37" t="n"/>
      <c r="N56" s="10">
        <f>G56*2400+K56+L56+M56</f>
        <v/>
      </c>
      <c r="O56" s="10">
        <f>(K56+M56)/G56</f>
        <v/>
      </c>
      <c r="P56" s="10">
        <f>L56/G56</f>
        <v/>
      </c>
      <c r="Q56" s="10">
        <f>N56*D56/1000</f>
        <v/>
      </c>
      <c r="R56" s="11">
        <f>K56*D56/1000</f>
        <v/>
      </c>
      <c r="S56" s="11">
        <f>L56*D56/1000</f>
        <v/>
      </c>
    </row>
    <row r="57" ht="46.5" customHeight="1">
      <c r="A57" s="25" t="inlineStr">
        <is>
          <t>LAJE</t>
        </is>
      </c>
      <c r="B57" s="25" t="inlineStr">
        <is>
          <t>L-1062 = L-2040 = L-3040 = L-4040</t>
        </is>
      </c>
      <c r="C57" s="25" t="inlineStr">
        <is>
          <t>L1062=L2040=L3040=L4040-FORMA E ARMAÇÃO-R00</t>
        </is>
      </c>
      <c r="D57" s="25" t="n">
        <v>4</v>
      </c>
      <c r="E57" s="25" t="inlineStr">
        <is>
          <t>21x125</t>
        </is>
      </c>
      <c r="F57" s="25" t="n">
        <v>917</v>
      </c>
      <c r="G57" s="25" t="n">
        <v>1.35</v>
      </c>
      <c r="H57" s="25">
        <f>G57*D57</f>
        <v/>
      </c>
      <c r="I57" s="25" t="n">
        <v>45</v>
      </c>
      <c r="J57" s="25" t="n">
        <v>31.5</v>
      </c>
      <c r="K57" s="37" t="n">
        <v>0</v>
      </c>
      <c r="L57" s="37" t="n">
        <v>43.58</v>
      </c>
      <c r="M57" s="37" t="n"/>
      <c r="N57" s="10">
        <f>G57*2400+K57+L57+M57</f>
        <v/>
      </c>
      <c r="O57" s="10">
        <f>(K57+M57)/G57</f>
        <v/>
      </c>
      <c r="P57" s="10">
        <f>L57/G57</f>
        <v/>
      </c>
      <c r="Q57" s="10">
        <f>N57*D57/1000</f>
        <v/>
      </c>
      <c r="R57" s="11">
        <f>K57*D57/1000</f>
        <v/>
      </c>
      <c r="S57" s="11">
        <f>L57*D57/1000</f>
        <v/>
      </c>
    </row>
    <row r="58" ht="46.5" customHeight="1">
      <c r="A58" s="25" t="inlineStr">
        <is>
          <t>LAJE</t>
        </is>
      </c>
      <c r="B58" s="25" t="inlineStr">
        <is>
          <t>L-2016</t>
        </is>
      </c>
      <c r="C58" s="25" t="inlineStr">
        <is>
          <t>L2016-FORMA E ARMAÇÃO-R01</t>
        </is>
      </c>
      <c r="D58" s="25" t="n">
        <v>1</v>
      </c>
      <c r="E58" s="25" t="inlineStr">
        <is>
          <t>16x67</t>
        </is>
      </c>
      <c r="F58" s="25" t="n">
        <v>589</v>
      </c>
      <c r="G58" s="25" t="n">
        <v>0.39</v>
      </c>
      <c r="H58" s="25">
        <f>G58*D58</f>
        <v/>
      </c>
      <c r="I58" s="25" t="n">
        <v>45</v>
      </c>
      <c r="J58" s="25" t="n">
        <v>31.5</v>
      </c>
      <c r="K58" s="37" t="n">
        <v>0</v>
      </c>
      <c r="L58" s="37" t="n">
        <v>12.99</v>
      </c>
      <c r="M58" s="37" t="n"/>
      <c r="N58" s="10">
        <f>G58*2400+K58+L58+M58</f>
        <v/>
      </c>
      <c r="O58" s="10">
        <f>(K58+M58)/G58</f>
        <v/>
      </c>
      <c r="P58" s="10">
        <f>L58/G58</f>
        <v/>
      </c>
      <c r="Q58" s="10">
        <f>N58*D58/1000</f>
        <v/>
      </c>
      <c r="R58" s="11">
        <f>K58*D58/1000</f>
        <v/>
      </c>
      <c r="S58" s="11">
        <f>L58*D58/1000</f>
        <v/>
      </c>
    </row>
    <row r="59" ht="46.5" customHeight="1">
      <c r="A59" s="25" t="inlineStr">
        <is>
          <t>LAJE</t>
        </is>
      </c>
      <c r="B59" s="25" t="inlineStr">
        <is>
          <t>L-2020</t>
        </is>
      </c>
      <c r="C59" s="25" t="inlineStr">
        <is>
          <t>L2020-FORMA E ARMAÇÃO-R01</t>
        </is>
      </c>
      <c r="D59" s="25" t="n">
        <v>1</v>
      </c>
      <c r="E59" s="25" t="inlineStr">
        <is>
          <t>16x125</t>
        </is>
      </c>
      <c r="F59" s="25" t="n">
        <v>604</v>
      </c>
      <c r="G59" s="25" t="n">
        <v>0.74</v>
      </c>
      <c r="H59" s="25">
        <f>G59*D59</f>
        <v/>
      </c>
      <c r="I59" s="25" t="n">
        <v>45</v>
      </c>
      <c r="J59" s="25" t="n">
        <v>31.5</v>
      </c>
      <c r="K59" s="37" t="n">
        <v>0</v>
      </c>
      <c r="L59" s="37" t="n">
        <v>13.32</v>
      </c>
      <c r="M59" s="37" t="n"/>
      <c r="N59" s="10">
        <f>G59*2400+K59+L59+M59</f>
        <v/>
      </c>
      <c r="O59" s="10">
        <f>(K59+M59)/G59</f>
        <v/>
      </c>
      <c r="P59" s="10">
        <f>L59/G59</f>
        <v/>
      </c>
      <c r="Q59" s="10">
        <f>N59*D59/1000</f>
        <v/>
      </c>
      <c r="R59" s="11">
        <f>K59*D59/1000</f>
        <v/>
      </c>
      <c r="S59" s="11">
        <f>L59*D59/1000</f>
        <v/>
      </c>
    </row>
    <row r="60" ht="46.5" customHeight="1">
      <c r="A60" s="25" t="inlineStr">
        <is>
          <t>LAJE</t>
        </is>
      </c>
      <c r="B60" s="25" t="inlineStr">
        <is>
          <t>L-2022</t>
        </is>
      </c>
      <c r="C60" s="25" t="inlineStr">
        <is>
          <t>L2022-FORMA E ARMAÇÃO-R01</t>
        </is>
      </c>
      <c r="D60" s="25" t="n">
        <v>1</v>
      </c>
      <c r="E60" s="25" t="inlineStr">
        <is>
          <t>16x109</t>
        </is>
      </c>
      <c r="F60" s="25" t="n">
        <v>589</v>
      </c>
      <c r="G60" s="25" t="n">
        <v>0.64</v>
      </c>
      <c r="H60" s="25">
        <f>G60*D60</f>
        <v/>
      </c>
      <c r="I60" s="25" t="n">
        <v>45</v>
      </c>
      <c r="J60" s="25" t="n">
        <v>31.5</v>
      </c>
      <c r="K60" s="37" t="n">
        <v>0</v>
      </c>
      <c r="L60" s="37" t="n">
        <v>12.99</v>
      </c>
      <c r="M60" s="37" t="n"/>
      <c r="N60" s="10">
        <f>G60*2400+K60+L60+M60</f>
        <v/>
      </c>
      <c r="O60" s="10">
        <f>(K60+M60)/G60</f>
        <v/>
      </c>
      <c r="P60" s="10">
        <f>L60/G60</f>
        <v/>
      </c>
      <c r="Q60" s="10">
        <f>N60*D60/1000</f>
        <v/>
      </c>
      <c r="R60" s="11">
        <f>K60*D60/1000</f>
        <v/>
      </c>
      <c r="S60" s="11">
        <f>L60*D60/1000</f>
        <v/>
      </c>
    </row>
    <row r="61" ht="46.5" customHeight="1">
      <c r="A61" s="25" t="inlineStr">
        <is>
          <t>LAJE</t>
        </is>
      </c>
      <c r="B61" s="25" t="inlineStr">
        <is>
          <t>L-2024</t>
        </is>
      </c>
      <c r="C61" s="25" t="inlineStr">
        <is>
          <t>L2024-FORMA E ARMAÇÃO-R01</t>
        </is>
      </c>
      <c r="D61" s="25" t="n">
        <v>1</v>
      </c>
      <c r="E61" s="25" t="inlineStr">
        <is>
          <t>16x125</t>
        </is>
      </c>
      <c r="F61" s="25" t="n">
        <v>589</v>
      </c>
      <c r="G61" s="25" t="n">
        <v>0.73</v>
      </c>
      <c r="H61" s="25">
        <f>G61*D61</f>
        <v/>
      </c>
      <c r="I61" s="25" t="n">
        <v>45</v>
      </c>
      <c r="J61" s="25" t="n">
        <v>31.5</v>
      </c>
      <c r="K61" s="37" t="n">
        <v>0</v>
      </c>
      <c r="L61" s="37" t="n">
        <v>12.99</v>
      </c>
      <c r="M61" s="37" t="n"/>
      <c r="N61" s="10">
        <f>G61*2400+K61+L61+M61</f>
        <v/>
      </c>
      <c r="O61" s="10">
        <f>(K61+M61)/G61</f>
        <v/>
      </c>
      <c r="P61" s="10">
        <f>L61/G61</f>
        <v/>
      </c>
      <c r="Q61" s="10">
        <f>N61*D61/1000</f>
        <v/>
      </c>
      <c r="R61" s="11">
        <f>K61*D61/1000</f>
        <v/>
      </c>
      <c r="S61" s="11">
        <f>L61*D61/1000</f>
        <v/>
      </c>
    </row>
    <row r="62" ht="46.5" customHeight="1">
      <c r="A62" s="25" t="inlineStr">
        <is>
          <t>LAJE</t>
        </is>
      </c>
      <c r="B62" s="25" t="inlineStr">
        <is>
          <t>L-2025 = L-3025 = L-4025</t>
        </is>
      </c>
      <c r="C62" s="25" t="inlineStr">
        <is>
          <t>L2025=L3025=L4025-FORMA E ARMAÇÃO-R00</t>
        </is>
      </c>
      <c r="D62" s="25" t="n">
        <v>3</v>
      </c>
      <c r="E62" s="25" t="inlineStr">
        <is>
          <t>16x125</t>
        </is>
      </c>
      <c r="F62" s="25" t="n">
        <v>573.5</v>
      </c>
      <c r="G62" s="25" t="n">
        <v>0.71</v>
      </c>
      <c r="H62" s="25">
        <f>G62*D62</f>
        <v/>
      </c>
      <c r="I62" s="25" t="n">
        <v>45</v>
      </c>
      <c r="J62" s="25" t="n">
        <v>31.5</v>
      </c>
      <c r="K62" s="37" t="n">
        <v>0</v>
      </c>
      <c r="L62" s="37" t="n">
        <v>12.65</v>
      </c>
      <c r="M62" s="37" t="n"/>
      <c r="N62" s="10">
        <f>G62*2400+K62+L62+M62</f>
        <v/>
      </c>
      <c r="O62" s="10">
        <f>(K62+M62)/G62</f>
        <v/>
      </c>
      <c r="P62" s="10">
        <f>L62/G62</f>
        <v/>
      </c>
      <c r="Q62" s="10">
        <f>N62*D62/1000</f>
        <v/>
      </c>
      <c r="R62" s="11">
        <f>K62*D62/1000</f>
        <v/>
      </c>
      <c r="S62" s="11">
        <f>L62*D62/1000</f>
        <v/>
      </c>
    </row>
    <row r="63" ht="46.5" customHeight="1">
      <c r="A63" s="25" t="inlineStr">
        <is>
          <t>LAJE</t>
        </is>
      </c>
      <c r="B63" s="25" t="inlineStr">
        <is>
          <t>L-2026 = L-3026 = L-4026</t>
        </is>
      </c>
      <c r="C63" s="25" t="inlineStr">
        <is>
          <t>L2026=L3026=L4026-FORMA E ARMAÇÃO-R00</t>
        </is>
      </c>
      <c r="D63" s="25" t="n">
        <v>3</v>
      </c>
      <c r="E63" s="25" t="inlineStr">
        <is>
          <t>16x125</t>
        </is>
      </c>
      <c r="F63" s="25" t="n">
        <v>589</v>
      </c>
      <c r="G63" s="25" t="n">
        <v>0.73</v>
      </c>
      <c r="H63" s="25">
        <f>G63*D63</f>
        <v/>
      </c>
      <c r="I63" s="25" t="n">
        <v>45</v>
      </c>
      <c r="J63" s="25" t="n">
        <v>31.5</v>
      </c>
      <c r="K63" s="37" t="n">
        <v>0</v>
      </c>
      <c r="L63" s="37" t="n">
        <v>12.99</v>
      </c>
      <c r="M63" s="37" t="n"/>
      <c r="N63" s="10">
        <f>G63*2400+K63+L63+M63</f>
        <v/>
      </c>
      <c r="O63" s="10">
        <f>(K63+M63)/G63</f>
        <v/>
      </c>
      <c r="P63" s="10">
        <f>L63/G63</f>
        <v/>
      </c>
      <c r="Q63" s="10">
        <f>N63*D63/1000</f>
        <v/>
      </c>
      <c r="R63" s="11">
        <f>K63*D63/1000</f>
        <v/>
      </c>
      <c r="S63" s="11">
        <f>L63*D63/1000</f>
        <v/>
      </c>
    </row>
    <row r="64" ht="46.5" customHeight="1">
      <c r="A64" s="25" t="inlineStr">
        <is>
          <t>LAJE</t>
        </is>
      </c>
      <c r="B64" s="25" t="inlineStr">
        <is>
          <t>L-2027 = L-3027 = L-4027</t>
        </is>
      </c>
      <c r="C64" s="25" t="inlineStr">
        <is>
          <t>L2027=L3027=L4027-FORMA E ARMAÇÃO-R00</t>
        </is>
      </c>
      <c r="D64" s="25" t="n">
        <v>3</v>
      </c>
      <c r="E64" s="25" t="inlineStr">
        <is>
          <t>16x125</t>
        </is>
      </c>
      <c r="F64" s="25" t="n">
        <v>589</v>
      </c>
      <c r="G64" s="25" t="n">
        <v>0.72</v>
      </c>
      <c r="H64" s="25">
        <f>G64*D64</f>
        <v/>
      </c>
      <c r="I64" s="25" t="n">
        <v>45</v>
      </c>
      <c r="J64" s="25" t="n">
        <v>31.5</v>
      </c>
      <c r="K64" s="37" t="n">
        <v>0</v>
      </c>
      <c r="L64" s="37" t="n">
        <v>12.99</v>
      </c>
      <c r="M64" s="37" t="n"/>
      <c r="N64" s="10">
        <f>G64*2400+K64+L64+M64</f>
        <v/>
      </c>
      <c r="O64" s="10">
        <f>(K64+M64)/G64</f>
        <v/>
      </c>
      <c r="P64" s="10">
        <f>L64/G64</f>
        <v/>
      </c>
      <c r="Q64" s="10">
        <f>N64*D64/1000</f>
        <v/>
      </c>
      <c r="R64" s="11">
        <f>K64*D64/1000</f>
        <v/>
      </c>
      <c r="S64" s="11">
        <f>L64*D64/1000</f>
        <v/>
      </c>
    </row>
    <row r="65" ht="46.5" customHeight="1">
      <c r="A65" s="25" t="inlineStr">
        <is>
          <t>LAJE</t>
        </is>
      </c>
      <c r="B65" s="25" t="inlineStr">
        <is>
          <t>L-2028 = L-3028 = L-4028</t>
        </is>
      </c>
      <c r="C65" s="25" t="inlineStr">
        <is>
          <t>L2028=L3028=L4028-FORMA E ARMAÇÃO-R00</t>
        </is>
      </c>
      <c r="D65" s="25" t="n">
        <v>3</v>
      </c>
      <c r="E65" s="25" t="inlineStr">
        <is>
          <t>16x84,5</t>
        </is>
      </c>
      <c r="F65" s="25" t="n">
        <v>589</v>
      </c>
      <c r="G65" s="25" t="n">
        <v>0.49</v>
      </c>
      <c r="H65" s="25">
        <f>G65*D65</f>
        <v/>
      </c>
      <c r="I65" s="25" t="n">
        <v>45</v>
      </c>
      <c r="J65" s="25" t="n">
        <v>31.5</v>
      </c>
      <c r="K65" s="37" t="n">
        <v>0</v>
      </c>
      <c r="L65" s="37" t="n">
        <v>12.99</v>
      </c>
      <c r="M65" s="37" t="n"/>
      <c r="N65" s="10">
        <f>G65*2400+K65+L65+M65</f>
        <v/>
      </c>
      <c r="O65" s="10">
        <f>(K65+M65)/G65</f>
        <v/>
      </c>
      <c r="P65" s="10">
        <f>L65/G65</f>
        <v/>
      </c>
      <c r="Q65" s="10">
        <f>N65*D65/1000</f>
        <v/>
      </c>
      <c r="R65" s="11">
        <f>K65*D65/1000</f>
        <v/>
      </c>
      <c r="S65" s="11">
        <f>L65*D65/1000</f>
        <v/>
      </c>
    </row>
    <row r="66" ht="46.5" customHeight="1">
      <c r="A66" s="25" t="inlineStr">
        <is>
          <t>LAJE</t>
        </is>
      </c>
      <c r="B66" s="25" t="inlineStr">
        <is>
          <t>L-2030 = L-3030 = L-4030</t>
        </is>
      </c>
      <c r="C66" s="25" t="inlineStr">
        <is>
          <t>L2030=L3030=L4030-FORMA E ARMAÇÃO-R00</t>
        </is>
      </c>
      <c r="D66" s="25" t="n">
        <v>3</v>
      </c>
      <c r="E66" s="25" t="inlineStr">
        <is>
          <t>16x125</t>
        </is>
      </c>
      <c r="F66" s="25" t="n">
        <v>589</v>
      </c>
      <c r="G66" s="25" t="n">
        <v>0.73</v>
      </c>
      <c r="H66" s="25">
        <f>G66*D66</f>
        <v/>
      </c>
      <c r="I66" s="25" t="n">
        <v>45</v>
      </c>
      <c r="J66" s="25" t="n">
        <v>31.5</v>
      </c>
      <c r="K66" s="37" t="n">
        <v>0</v>
      </c>
      <c r="L66" s="37" t="n">
        <v>12.99</v>
      </c>
      <c r="M66" s="37" t="n"/>
      <c r="N66" s="10">
        <f>G66*2400+K66+L66+M66</f>
        <v/>
      </c>
      <c r="O66" s="10">
        <f>(K66+M66)/G66</f>
        <v/>
      </c>
      <c r="P66" s="10">
        <f>L66/G66</f>
        <v/>
      </c>
      <c r="Q66" s="10">
        <f>N66*D66/1000</f>
        <v/>
      </c>
      <c r="R66" s="11">
        <f>K66*D66/1000</f>
        <v/>
      </c>
      <c r="S66" s="11">
        <f>L66*D66/1000</f>
        <v/>
      </c>
    </row>
    <row r="67" ht="46.5" customHeight="1">
      <c r="A67" s="25" t="inlineStr">
        <is>
          <t>LAJE</t>
        </is>
      </c>
      <c r="B67" s="25" t="inlineStr">
        <is>
          <t>L-2031 = L-3031 = L-4031</t>
        </is>
      </c>
      <c r="C67" s="25" t="inlineStr">
        <is>
          <t>L2031=L3031=L4031-FORMA E ARMAÇÃO-R00</t>
        </is>
      </c>
      <c r="D67" s="25" t="n">
        <v>3</v>
      </c>
      <c r="E67" s="25" t="inlineStr">
        <is>
          <t>16x80</t>
        </is>
      </c>
      <c r="F67" s="25" t="n">
        <v>589</v>
      </c>
      <c r="G67" s="25" t="n">
        <v>0.46</v>
      </c>
      <c r="H67" s="25">
        <f>G67*D67</f>
        <v/>
      </c>
      <c r="I67" s="25" t="n">
        <v>45</v>
      </c>
      <c r="J67" s="25" t="n">
        <v>31.5</v>
      </c>
      <c r="K67" s="37" t="n">
        <v>0</v>
      </c>
      <c r="L67" s="37" t="n">
        <v>12.99</v>
      </c>
      <c r="M67" s="37" t="n"/>
      <c r="N67" s="10">
        <f>G67*2400+K67+L67+M67</f>
        <v/>
      </c>
      <c r="O67" s="10">
        <f>(K67+M67)/G67</f>
        <v/>
      </c>
      <c r="P67" s="10">
        <f>L67/G67</f>
        <v/>
      </c>
      <c r="Q67" s="10">
        <f>N67*D67/1000</f>
        <v/>
      </c>
      <c r="R67" s="11">
        <f>K67*D67/1000</f>
        <v/>
      </c>
      <c r="S67" s="11">
        <f>L67*D67/1000</f>
        <v/>
      </c>
    </row>
    <row r="68" ht="46.5" customHeight="1">
      <c r="A68" s="25" t="inlineStr">
        <is>
          <t>LAJE</t>
        </is>
      </c>
      <c r="B68" s="25" t="inlineStr">
        <is>
          <t>L-2046 = L-3046 = L-4046</t>
        </is>
      </c>
      <c r="C68" s="25" t="inlineStr">
        <is>
          <t>L2046=L3046=L4046-FORMA E ARMAÇÃO-R00</t>
        </is>
      </c>
      <c r="D68" s="25" t="n">
        <v>3</v>
      </c>
      <c r="E68" s="25" t="inlineStr">
        <is>
          <t>16x125</t>
        </is>
      </c>
      <c r="F68" s="25" t="n">
        <v>496</v>
      </c>
      <c r="G68" s="25" t="n">
        <v>0.61</v>
      </c>
      <c r="H68" s="25">
        <f>G68*D68</f>
        <v/>
      </c>
      <c r="I68" s="25" t="n">
        <v>45</v>
      </c>
      <c r="J68" s="25" t="n">
        <v>31.5</v>
      </c>
      <c r="K68" s="37" t="n">
        <v>0</v>
      </c>
      <c r="L68" s="37" t="n">
        <v>15.28</v>
      </c>
      <c r="M68" s="37" t="n"/>
      <c r="N68" s="10">
        <f>G68*2400+K68+L68+M68</f>
        <v/>
      </c>
      <c r="O68" s="10">
        <f>(K68+M68)/G68</f>
        <v/>
      </c>
      <c r="P68" s="10">
        <f>L68/G68</f>
        <v/>
      </c>
      <c r="Q68" s="10">
        <f>N68*D68/1000</f>
        <v/>
      </c>
      <c r="R68" s="11">
        <f>K68*D68/1000</f>
        <v/>
      </c>
      <c r="S68" s="11">
        <f>L68*D68/1000</f>
        <v/>
      </c>
    </row>
    <row r="69" ht="46.5" customHeight="1">
      <c r="A69" s="25" t="inlineStr">
        <is>
          <t>LAJE</t>
        </is>
      </c>
      <c r="B69" s="25" t="inlineStr">
        <is>
          <t>L-2047 = L-3047 = L-4047</t>
        </is>
      </c>
      <c r="C69" s="25" t="inlineStr">
        <is>
          <t>L2047=L3047=L4047-FORMA E ARMAÇÃO-R00</t>
        </is>
      </c>
      <c r="D69" s="25" t="n">
        <v>3</v>
      </c>
      <c r="E69" s="25" t="inlineStr">
        <is>
          <t>16x96.5</t>
        </is>
      </c>
      <c r="F69" s="25" t="n">
        <v>495</v>
      </c>
      <c r="G69" s="25" t="n">
        <v>0.47</v>
      </c>
      <c r="H69" s="25">
        <f>G69*D69</f>
        <v/>
      </c>
      <c r="I69" s="25" t="n">
        <v>45</v>
      </c>
      <c r="J69" s="25" t="n">
        <v>31.5</v>
      </c>
      <c r="K69" s="37" t="n">
        <v>0</v>
      </c>
      <c r="L69" s="37" t="n">
        <v>15.28</v>
      </c>
      <c r="M69" s="37" t="n"/>
      <c r="N69" s="10">
        <f>G69*2400+K69+L69+M69</f>
        <v/>
      </c>
      <c r="O69" s="10">
        <f>(K69+M69)/G69</f>
        <v/>
      </c>
      <c r="P69" s="10">
        <f>L69/G69</f>
        <v/>
      </c>
      <c r="Q69" s="10">
        <f>N69*D69/1000</f>
        <v/>
      </c>
      <c r="R69" s="11">
        <f>K69*D69/1000</f>
        <v/>
      </c>
      <c r="S69" s="11">
        <f>L69*D69/1000</f>
        <v/>
      </c>
    </row>
    <row r="70" ht="46.5" customHeight="1">
      <c r="A70" s="25" t="inlineStr">
        <is>
          <t>LAJE</t>
        </is>
      </c>
      <c r="B70" s="25" t="inlineStr">
        <is>
          <t>L-2048 = L-3048 = L-4048</t>
        </is>
      </c>
      <c r="C70" s="25" t="inlineStr">
        <is>
          <t>L2048=L3048=L4048-FORMA E ARMAÇÃO-R00</t>
        </is>
      </c>
      <c r="D70" s="25" t="n">
        <v>9</v>
      </c>
      <c r="E70" s="25" t="inlineStr">
        <is>
          <t>16x125</t>
        </is>
      </c>
      <c r="F70" s="25" t="n">
        <v>495</v>
      </c>
      <c r="G70" s="25" t="n">
        <v>0.61</v>
      </c>
      <c r="H70" s="25">
        <f>G70*D70</f>
        <v/>
      </c>
      <c r="I70" s="25" t="n">
        <v>45</v>
      </c>
      <c r="J70" s="25" t="n">
        <v>31.5</v>
      </c>
      <c r="K70" s="37" t="n">
        <v>0</v>
      </c>
      <c r="L70" s="37" t="n">
        <v>15.28</v>
      </c>
      <c r="M70" s="37" t="n"/>
      <c r="N70" s="10">
        <f>G70*2400+K70+L70+M70</f>
        <v/>
      </c>
      <c r="O70" s="10">
        <f>(K70+M70)/G70</f>
        <v/>
      </c>
      <c r="P70" s="10">
        <f>L70/G70</f>
        <v/>
      </c>
      <c r="Q70" s="10">
        <f>N70*D70/1000</f>
        <v/>
      </c>
      <c r="R70" s="11">
        <f>K70*D70/1000</f>
        <v/>
      </c>
      <c r="S70" s="11">
        <f>L70*D70/1000</f>
        <v/>
      </c>
    </row>
    <row r="71" ht="46.5" customHeight="1">
      <c r="A71" s="25" t="inlineStr">
        <is>
          <t>LAJE</t>
        </is>
      </c>
      <c r="B71" s="25" t="inlineStr">
        <is>
          <t>L-2049 = L-3049 = L-4049</t>
        </is>
      </c>
      <c r="C71" s="25" t="inlineStr">
        <is>
          <t>L2049=L3049=L4049-FORMA E ARMAÇÃO-R00</t>
        </is>
      </c>
      <c r="D71" s="25" t="n">
        <v>6</v>
      </c>
      <c r="E71" s="25" t="inlineStr">
        <is>
          <t>16x65</t>
        </is>
      </c>
      <c r="F71" s="25" t="n">
        <v>495</v>
      </c>
      <c r="G71" s="25" t="n">
        <v>0.32</v>
      </c>
      <c r="H71" s="25">
        <f>G71*D71</f>
        <v/>
      </c>
      <c r="I71" s="25" t="n">
        <v>45</v>
      </c>
      <c r="J71" s="25" t="n">
        <v>31.5</v>
      </c>
      <c r="K71" s="37" t="n">
        <v>0</v>
      </c>
      <c r="L71" s="37" t="n">
        <v>15.28</v>
      </c>
      <c r="M71" s="37" t="n"/>
      <c r="N71" s="10">
        <f>G71*2400+K71+L71+M71</f>
        <v/>
      </c>
      <c r="O71" s="10">
        <f>(K71+M71)/G71</f>
        <v/>
      </c>
      <c r="P71" s="10">
        <f>L71/G71</f>
        <v/>
      </c>
      <c r="Q71" s="10">
        <f>N71*D71/1000</f>
        <v/>
      </c>
      <c r="R71" s="11">
        <f>K71*D71/1000</f>
        <v/>
      </c>
      <c r="S71" s="11">
        <f>L71*D71/1000</f>
        <v/>
      </c>
    </row>
    <row r="72" ht="46.5" customHeight="1">
      <c r="A72" s="25" t="inlineStr">
        <is>
          <t>LAJE</t>
        </is>
      </c>
      <c r="B72" s="25" t="inlineStr">
        <is>
          <t>L-2050 = L-3050 = L-4050</t>
        </is>
      </c>
      <c r="C72" s="25" t="inlineStr">
        <is>
          <t>L2050=L3050=L4050-FORMA E ARMAÇÃO-R00</t>
        </is>
      </c>
      <c r="D72" s="25" t="n">
        <v>3</v>
      </c>
      <c r="E72" s="25" t="inlineStr">
        <is>
          <t>16x96.5</t>
        </is>
      </c>
      <c r="F72" s="25" t="n">
        <v>484.5</v>
      </c>
      <c r="G72" s="25" t="n">
        <v>0.46</v>
      </c>
      <c r="H72" s="25">
        <f>G72*D72</f>
        <v/>
      </c>
      <c r="I72" s="25" t="n">
        <v>45</v>
      </c>
      <c r="J72" s="25" t="n">
        <v>31.5</v>
      </c>
      <c r="K72" s="37" t="n">
        <v>0</v>
      </c>
      <c r="L72" s="37" t="n">
        <v>14.96</v>
      </c>
      <c r="M72" s="37" t="n"/>
      <c r="N72" s="10">
        <f>G72*2400+K72+L72+M72</f>
        <v/>
      </c>
      <c r="O72" s="10">
        <f>(K72+M72)/G72</f>
        <v/>
      </c>
      <c r="P72" s="10">
        <f>L72/G72</f>
        <v/>
      </c>
      <c r="Q72" s="10">
        <f>N72*D72/1000</f>
        <v/>
      </c>
      <c r="R72" s="11">
        <f>K72*D72/1000</f>
        <v/>
      </c>
      <c r="S72" s="11">
        <f>L72*D72/1000</f>
        <v/>
      </c>
    </row>
    <row r="73" ht="46.5" customHeight="1">
      <c r="A73" s="25" t="inlineStr">
        <is>
          <t>LAJE</t>
        </is>
      </c>
      <c r="B73" s="25" t="inlineStr">
        <is>
          <t>L-2051 = L-3051 = L-4051</t>
        </is>
      </c>
      <c r="C73" s="25" t="inlineStr">
        <is>
          <t>L2051=L3051=L4051-FORMA E ARMAÇÃO-R00</t>
        </is>
      </c>
      <c r="D73" s="25" t="n">
        <v>6</v>
      </c>
      <c r="E73" s="25" t="inlineStr">
        <is>
          <t>16x65</t>
        </is>
      </c>
      <c r="F73" s="25" t="n">
        <v>484.5</v>
      </c>
      <c r="G73" s="25" t="n">
        <v>0.31</v>
      </c>
      <c r="H73" s="25">
        <f>G73*D73</f>
        <v/>
      </c>
      <c r="I73" s="25" t="n">
        <v>45</v>
      </c>
      <c r="J73" s="25" t="n">
        <v>31.5</v>
      </c>
      <c r="K73" s="37" t="n">
        <v>0</v>
      </c>
      <c r="L73" s="37" t="n">
        <v>14.96</v>
      </c>
      <c r="M73" s="37" t="n"/>
      <c r="N73" s="10">
        <f>G73*2400+K73+L73+M73</f>
        <v/>
      </c>
      <c r="O73" s="10">
        <f>(K73+M73)/G73</f>
        <v/>
      </c>
      <c r="P73" s="10">
        <f>L73/G73</f>
        <v/>
      </c>
      <c r="Q73" s="10">
        <f>N73*D73/1000</f>
        <v/>
      </c>
      <c r="R73" s="11">
        <f>K73*D73/1000</f>
        <v/>
      </c>
      <c r="S73" s="11">
        <f>L73*D73/1000</f>
        <v/>
      </c>
    </row>
    <row r="74" ht="46.5" customHeight="1">
      <c r="A74" s="25" t="inlineStr">
        <is>
          <t>LAJE</t>
        </is>
      </c>
      <c r="B74" s="25" t="inlineStr">
        <is>
          <t>L-2052 = L-3052 = L-4052</t>
        </is>
      </c>
      <c r="C74" s="25" t="inlineStr">
        <is>
          <t>L2052=L3052=L4052-FORMA E ARMAÇÃO-R00</t>
        </is>
      </c>
      <c r="D74" s="25" t="n">
        <v>3</v>
      </c>
      <c r="E74" s="25" t="inlineStr">
        <is>
          <t>16x125</t>
        </is>
      </c>
      <c r="F74" s="25" t="n">
        <v>484.5</v>
      </c>
      <c r="G74" s="25" t="n">
        <v>0.6</v>
      </c>
      <c r="H74" s="25">
        <f>G74*D74</f>
        <v/>
      </c>
      <c r="I74" s="25" t="n">
        <v>45</v>
      </c>
      <c r="J74" s="25" t="n">
        <v>31.5</v>
      </c>
      <c r="K74" s="37" t="n">
        <v>0</v>
      </c>
      <c r="L74" s="37" t="n">
        <v>14.96</v>
      </c>
      <c r="M74" s="37" t="n"/>
      <c r="N74" s="10">
        <f>G74*2400+K74+L74+M74</f>
        <v/>
      </c>
      <c r="O74" s="10">
        <f>(K74+M74)/G74</f>
        <v/>
      </c>
      <c r="P74" s="10">
        <f>L74/G74</f>
        <v/>
      </c>
      <c r="Q74" s="10">
        <f>N74*D74/1000</f>
        <v/>
      </c>
      <c r="R74" s="11">
        <f>K74*D74/1000</f>
        <v/>
      </c>
      <c r="S74" s="11">
        <f>L74*D74/1000</f>
        <v/>
      </c>
    </row>
    <row r="75" ht="46.5" customHeight="1">
      <c r="A75" s="25" t="inlineStr">
        <is>
          <t>LAJE</t>
        </is>
      </c>
      <c r="B75" s="25" t="inlineStr">
        <is>
          <t>L-2053 = L-3053 = L-4053</t>
        </is>
      </c>
      <c r="C75" s="25" t="inlineStr">
        <is>
          <t>L2053=L3053=L4053-FORMA E ARMAÇÃO-R00</t>
        </is>
      </c>
      <c r="D75" s="25" t="n">
        <v>3</v>
      </c>
      <c r="E75" s="25" t="inlineStr">
        <is>
          <t>16x125</t>
        </is>
      </c>
      <c r="F75" s="25" t="n">
        <v>735.5</v>
      </c>
      <c r="G75" s="25" t="n">
        <v>0.91</v>
      </c>
      <c r="H75" s="25">
        <f>G75*D75</f>
        <v/>
      </c>
      <c r="I75" s="25" t="n">
        <v>45</v>
      </c>
      <c r="J75" s="25" t="n">
        <v>31.5</v>
      </c>
      <c r="K75" s="37" t="n">
        <v>0</v>
      </c>
      <c r="L75" s="37" t="n">
        <v>22.7</v>
      </c>
      <c r="M75" s="37" t="n"/>
      <c r="N75" s="10">
        <f>G75*2400+K75+L75+M75</f>
        <v/>
      </c>
      <c r="O75" s="10">
        <f>(K75+M75)/G75</f>
        <v/>
      </c>
      <c r="P75" s="10">
        <f>L75/G75</f>
        <v/>
      </c>
      <c r="Q75" s="10">
        <f>N75*D75/1000</f>
        <v/>
      </c>
      <c r="R75" s="11">
        <f>K75*D75/1000</f>
        <v/>
      </c>
      <c r="S75" s="11">
        <f>L75*D75/1000</f>
        <v/>
      </c>
    </row>
    <row r="76" ht="46.5" customHeight="1">
      <c r="A76" s="25" t="inlineStr">
        <is>
          <t>LAJE</t>
        </is>
      </c>
      <c r="B76" s="25" t="inlineStr">
        <is>
          <t>L-2054 = L-3054 = L-4054</t>
        </is>
      </c>
      <c r="C76" s="25" t="inlineStr">
        <is>
          <t>L2054=L3054=L4054-FORMA E ARMAÇÃO-R00</t>
        </is>
      </c>
      <c r="D76" s="25" t="n">
        <v>3</v>
      </c>
      <c r="E76" s="25" t="inlineStr">
        <is>
          <t>16x96,5</t>
        </is>
      </c>
      <c r="F76" s="25" t="n">
        <v>735.5</v>
      </c>
      <c r="G76" s="25" t="n">
        <v>0.7</v>
      </c>
      <c r="H76" s="25">
        <f>G76*D76</f>
        <v/>
      </c>
      <c r="I76" s="25" t="n">
        <v>45</v>
      </c>
      <c r="J76" s="25" t="n">
        <v>31.5</v>
      </c>
      <c r="K76" s="37" t="n">
        <v>0</v>
      </c>
      <c r="L76" s="37" t="n">
        <v>22.7</v>
      </c>
      <c r="M76" s="37" t="n"/>
      <c r="N76" s="10">
        <f>G76*2400+K76+L76+M76</f>
        <v/>
      </c>
      <c r="O76" s="10">
        <f>(K76+M76)/G76</f>
        <v/>
      </c>
      <c r="P76" s="10">
        <f>L76/G76</f>
        <v/>
      </c>
      <c r="Q76" s="10">
        <f>N76*D76/1000</f>
        <v/>
      </c>
      <c r="R76" s="11">
        <f>K76*D76/1000</f>
        <v/>
      </c>
      <c r="S76" s="11">
        <f>L76*D76/1000</f>
        <v/>
      </c>
    </row>
    <row r="77" ht="46.5" customHeight="1">
      <c r="A77" s="25" t="inlineStr">
        <is>
          <t>LAJE</t>
        </is>
      </c>
      <c r="B77" s="25" t="inlineStr">
        <is>
          <t>L-2055 = L-3055 = L-4055</t>
        </is>
      </c>
      <c r="C77" s="25" t="inlineStr">
        <is>
          <t>L2055=L3055=L4055-FORMA E ARMAÇÃO-R00</t>
        </is>
      </c>
      <c r="D77" s="25" t="n">
        <v>6</v>
      </c>
      <c r="E77" s="25" t="inlineStr">
        <is>
          <t>16x125</t>
        </is>
      </c>
      <c r="F77" s="25" t="n">
        <v>735.5</v>
      </c>
      <c r="G77" s="25" t="n">
        <v>0.91</v>
      </c>
      <c r="H77" s="25">
        <f>G77*D77</f>
        <v/>
      </c>
      <c r="I77" s="25" t="n">
        <v>45</v>
      </c>
      <c r="J77" s="25" t="n">
        <v>31.5</v>
      </c>
      <c r="K77" s="37" t="n">
        <v>0</v>
      </c>
      <c r="L77" s="37" t="n">
        <v>22.7</v>
      </c>
      <c r="M77" s="37" t="n"/>
      <c r="N77" s="10">
        <f>G77*2400+K77+L77+M77</f>
        <v/>
      </c>
      <c r="O77" s="10">
        <f>(K77+M77)/G77</f>
        <v/>
      </c>
      <c r="P77" s="10">
        <f>L77/G77</f>
        <v/>
      </c>
      <c r="Q77" s="10">
        <f>N77*D77/1000</f>
        <v/>
      </c>
      <c r="R77" s="11">
        <f>K77*D77/1000</f>
        <v/>
      </c>
      <c r="S77" s="11">
        <f>L77*D77/1000</f>
        <v/>
      </c>
    </row>
    <row r="78" ht="46.5" customHeight="1">
      <c r="A78" s="25" t="inlineStr">
        <is>
          <t>LAJE</t>
        </is>
      </c>
      <c r="B78" s="25" t="inlineStr">
        <is>
          <t>L-2056 = L-3056 = L-4056</t>
        </is>
      </c>
      <c r="C78" s="25" t="inlineStr">
        <is>
          <t>L2056=L3056=L4056-FORMA E ARMAÇÃO-R00</t>
        </is>
      </c>
      <c r="D78" s="25" t="n">
        <v>6</v>
      </c>
      <c r="E78" s="25" t="inlineStr">
        <is>
          <t>16x65</t>
        </is>
      </c>
      <c r="F78" s="25" t="n">
        <v>735.5</v>
      </c>
      <c r="G78" s="25" t="n">
        <v>0.47</v>
      </c>
      <c r="H78" s="25">
        <f>G78*D78</f>
        <v/>
      </c>
      <c r="I78" s="25" t="n">
        <v>45</v>
      </c>
      <c r="J78" s="25" t="n">
        <v>31.5</v>
      </c>
      <c r="K78" s="37" t="n">
        <v>0</v>
      </c>
      <c r="L78" s="37" t="n">
        <v>22.7</v>
      </c>
      <c r="M78" s="37" t="n"/>
      <c r="N78" s="10">
        <f>G78*2400+K78+L78+M78</f>
        <v/>
      </c>
      <c r="O78" s="10">
        <f>(K78+M78)/G78</f>
        <v/>
      </c>
      <c r="P78" s="10">
        <f>L78/G78</f>
        <v/>
      </c>
      <c r="Q78" s="10">
        <f>N78*D78/1000</f>
        <v/>
      </c>
      <c r="R78" s="11">
        <f>K78*D78/1000</f>
        <v/>
      </c>
      <c r="S78" s="11">
        <f>L78*D78/1000</f>
        <v/>
      </c>
    </row>
    <row r="79" ht="46.5" customHeight="1">
      <c r="A79" s="25" t="inlineStr">
        <is>
          <t>LAJE</t>
        </is>
      </c>
      <c r="B79" s="25" t="inlineStr">
        <is>
          <t>L-2057 = L-3057 = L-4057</t>
        </is>
      </c>
      <c r="C79" s="25" t="inlineStr">
        <is>
          <t>L2057=L3057=L4057-FORMA E ARMAÇÃO-R00</t>
        </is>
      </c>
      <c r="D79" s="25" t="n">
        <v>3</v>
      </c>
      <c r="E79" s="25" t="inlineStr">
        <is>
          <t>16x125</t>
        </is>
      </c>
      <c r="F79" s="25" t="n">
        <v>735.5</v>
      </c>
      <c r="G79" s="25" t="n">
        <v>0.91</v>
      </c>
      <c r="H79" s="25">
        <f>G79*D79</f>
        <v/>
      </c>
      <c r="I79" s="25" t="n">
        <v>45</v>
      </c>
      <c r="J79" s="25" t="n">
        <v>31.5</v>
      </c>
      <c r="K79" s="37" t="n">
        <v>0</v>
      </c>
      <c r="L79" s="37" t="n">
        <v>22.7</v>
      </c>
      <c r="M79" s="37" t="n"/>
      <c r="N79" s="10">
        <f>G79*2400+K79+L79+M79</f>
        <v/>
      </c>
      <c r="O79" s="10">
        <f>(K79+M79)/G79</f>
        <v/>
      </c>
      <c r="P79" s="10">
        <f>L79/G79</f>
        <v/>
      </c>
      <c r="Q79" s="10">
        <f>N79*D79/1000</f>
        <v/>
      </c>
      <c r="R79" s="11">
        <f>K79*D79/1000</f>
        <v/>
      </c>
      <c r="S79" s="11">
        <f>L79*D79/1000</f>
        <v/>
      </c>
    </row>
    <row r="80" ht="46.5" customHeight="1">
      <c r="A80" s="25" t="inlineStr">
        <is>
          <t>LAJE</t>
        </is>
      </c>
      <c r="B80" s="25" t="inlineStr">
        <is>
          <t>L-2077</t>
        </is>
      </c>
      <c r="C80" s="25" t="inlineStr">
        <is>
          <t>L2077-FORMA E ARMAÇÃO-R00</t>
        </is>
      </c>
      <c r="D80" s="25" t="n">
        <v>1</v>
      </c>
      <c r="E80" s="25" t="inlineStr">
        <is>
          <t>16x125</t>
        </is>
      </c>
      <c r="F80" s="25" t="n">
        <v>880</v>
      </c>
      <c r="G80" s="25" t="n">
        <v>1.07</v>
      </c>
      <c r="H80" s="25">
        <f>G80*D80</f>
        <v/>
      </c>
      <c r="I80" s="25" t="n">
        <v>45</v>
      </c>
      <c r="J80" s="25" t="n">
        <v>31.5</v>
      </c>
      <c r="K80" s="37" t="n">
        <v>0</v>
      </c>
      <c r="L80" s="37" t="n">
        <v>41.18</v>
      </c>
      <c r="M80" s="37" t="n"/>
      <c r="N80" s="10">
        <f>G80*2400+K80+L80+M80</f>
        <v/>
      </c>
      <c r="O80" s="10">
        <f>(K80+M80)/G80</f>
        <v/>
      </c>
      <c r="P80" s="10">
        <f>L80/G80</f>
        <v/>
      </c>
      <c r="Q80" s="10">
        <f>N80*D80/1000</f>
        <v/>
      </c>
      <c r="R80" s="11">
        <f>K80*D80/1000</f>
        <v/>
      </c>
      <c r="S80" s="11">
        <f>L80*D80/1000</f>
        <v/>
      </c>
    </row>
    <row r="81" ht="46.5" customHeight="1">
      <c r="A81" s="25" t="inlineStr">
        <is>
          <t>LAJE</t>
        </is>
      </c>
      <c r="B81" s="25" t="inlineStr">
        <is>
          <t>L-2078</t>
        </is>
      </c>
      <c r="C81" s="25" t="inlineStr">
        <is>
          <t>L2078-FORMA E ARMAÇÃO-R00</t>
        </is>
      </c>
      <c r="D81" s="25" t="n">
        <v>2</v>
      </c>
      <c r="E81" s="25" t="inlineStr">
        <is>
          <t>16x125</t>
        </is>
      </c>
      <c r="F81" s="25" t="n">
        <v>880</v>
      </c>
      <c r="G81" s="25" t="n">
        <v>1.08</v>
      </c>
      <c r="H81" s="25">
        <f>G81*D81</f>
        <v/>
      </c>
      <c r="I81" s="25" t="n">
        <v>45</v>
      </c>
      <c r="J81" s="25" t="n">
        <v>31.5</v>
      </c>
      <c r="K81" s="37" t="n">
        <v>0</v>
      </c>
      <c r="L81" s="37" t="n">
        <v>41.18</v>
      </c>
      <c r="M81" s="37" t="n"/>
      <c r="N81" s="10">
        <f>G81*2400+K81+L81+M81</f>
        <v/>
      </c>
      <c r="O81" s="10">
        <f>(K81+M81)/G81</f>
        <v/>
      </c>
      <c r="P81" s="10">
        <f>L81/G81</f>
        <v/>
      </c>
      <c r="Q81" s="10">
        <f>N81*D81/1000</f>
        <v/>
      </c>
      <c r="R81" s="11">
        <f>K81*D81/1000</f>
        <v/>
      </c>
      <c r="S81" s="11">
        <f>L81*D81/1000</f>
        <v/>
      </c>
    </row>
    <row r="82" ht="46.5" customHeight="1">
      <c r="A82" s="25" t="inlineStr">
        <is>
          <t>LAJE</t>
        </is>
      </c>
      <c r="B82" s="25" t="inlineStr">
        <is>
          <t>L-2079</t>
        </is>
      </c>
      <c r="C82" s="25" t="inlineStr">
        <is>
          <t>L2079-FORMA E ARMAÇÃO-R00</t>
        </is>
      </c>
      <c r="D82" s="25" t="n">
        <v>1</v>
      </c>
      <c r="E82" s="25" t="inlineStr">
        <is>
          <t>16x65</t>
        </is>
      </c>
      <c r="F82" s="25" t="n">
        <v>880</v>
      </c>
      <c r="G82" s="25" t="n">
        <v>0.55</v>
      </c>
      <c r="H82" s="25">
        <f>G82*D82</f>
        <v/>
      </c>
      <c r="I82" s="25" t="n">
        <v>45</v>
      </c>
      <c r="J82" s="25" t="n">
        <v>31.5</v>
      </c>
      <c r="K82" s="37" t="n">
        <v>0</v>
      </c>
      <c r="L82" s="37" t="n">
        <v>41.18</v>
      </c>
      <c r="M82" s="37" t="n"/>
      <c r="N82" s="10">
        <f>G82*2400+K82+L82+M82</f>
        <v/>
      </c>
      <c r="O82" s="10">
        <f>(K82+M82)/G82</f>
        <v/>
      </c>
      <c r="P82" s="10">
        <f>L82/G82</f>
        <v/>
      </c>
      <c r="Q82" s="10">
        <f>N82*D82/1000</f>
        <v/>
      </c>
      <c r="R82" s="11">
        <f>K82*D82/1000</f>
        <v/>
      </c>
      <c r="S82" s="11">
        <f>L82*D82/1000</f>
        <v/>
      </c>
    </row>
    <row r="83" ht="46.5" customHeight="1">
      <c r="A83" s="25" t="inlineStr">
        <is>
          <t>LAJE</t>
        </is>
      </c>
      <c r="B83" s="25" t="inlineStr">
        <is>
          <t>L-2080</t>
        </is>
      </c>
      <c r="C83" s="25" t="inlineStr">
        <is>
          <t>L2080-FORMA E ARMAÇÃO-R00</t>
        </is>
      </c>
      <c r="D83" s="25" t="n">
        <v>1</v>
      </c>
      <c r="E83" s="25" t="inlineStr">
        <is>
          <t>16x125</t>
        </is>
      </c>
      <c r="F83" s="25" t="n">
        <v>890</v>
      </c>
      <c r="G83" s="25" t="n">
        <v>1.09</v>
      </c>
      <c r="H83" s="25">
        <f>G83*D83</f>
        <v/>
      </c>
      <c r="I83" s="25" t="n">
        <v>45</v>
      </c>
      <c r="J83" s="25" t="n">
        <v>31.5</v>
      </c>
      <c r="K83" s="37" t="n">
        <v>0</v>
      </c>
      <c r="L83" s="37" t="n">
        <v>41.65</v>
      </c>
      <c r="M83" s="37" t="n"/>
      <c r="N83" s="10">
        <f>G83*2400+K83+L83+M83</f>
        <v/>
      </c>
      <c r="O83" s="10">
        <f>(K83+M83)/G83</f>
        <v/>
      </c>
      <c r="P83" s="10">
        <f>L83/G83</f>
        <v/>
      </c>
      <c r="Q83" s="10">
        <f>N83*D83/1000</f>
        <v/>
      </c>
      <c r="R83" s="11">
        <f>K83*D83/1000</f>
        <v/>
      </c>
      <c r="S83" s="11">
        <f>L83*D83/1000</f>
        <v/>
      </c>
    </row>
    <row r="84" ht="46.5" customHeight="1">
      <c r="A84" s="25" t="inlineStr">
        <is>
          <t>LAJE</t>
        </is>
      </c>
      <c r="B84" s="25" t="inlineStr">
        <is>
          <t>L-2081</t>
        </is>
      </c>
      <c r="C84" s="25" t="inlineStr">
        <is>
          <t>L2081-FORMA E ARMAÇÃO-R00</t>
        </is>
      </c>
      <c r="D84" s="25" t="n">
        <v>1</v>
      </c>
      <c r="E84" s="25" t="inlineStr">
        <is>
          <t>16x65</t>
        </is>
      </c>
      <c r="F84" s="25" t="n">
        <v>890</v>
      </c>
      <c r="G84" s="25" t="n">
        <v>0.5600000000000001</v>
      </c>
      <c r="H84" s="25">
        <f>G84*D84</f>
        <v/>
      </c>
      <c r="I84" s="25" t="n">
        <v>45</v>
      </c>
      <c r="J84" s="25" t="n">
        <v>31.5</v>
      </c>
      <c r="K84" s="37" t="n">
        <v>0</v>
      </c>
      <c r="L84" s="37" t="n">
        <v>41.65</v>
      </c>
      <c r="M84" s="37" t="n"/>
      <c r="N84" s="10">
        <f>G84*2400+K84+L84+M84</f>
        <v/>
      </c>
      <c r="O84" s="10">
        <f>(K84+M84)/G84</f>
        <v/>
      </c>
      <c r="P84" s="10">
        <f>L84/G84</f>
        <v/>
      </c>
      <c r="Q84" s="10">
        <f>N84*D84/1000</f>
        <v/>
      </c>
      <c r="R84" s="11">
        <f>K84*D84/1000</f>
        <v/>
      </c>
      <c r="S84" s="11">
        <f>L84*D84/1000</f>
        <v/>
      </c>
    </row>
    <row r="85" ht="46.5" customHeight="1">
      <c r="A85" s="25" t="inlineStr">
        <is>
          <t>LAJE</t>
        </is>
      </c>
      <c r="B85" s="25" t="inlineStr">
        <is>
          <t>L-2082 = L-3082 = L-4082</t>
        </is>
      </c>
      <c r="C85" s="25" t="inlineStr">
        <is>
          <t>L2082=L3082=L4082-FORMA E ARMAÇÃO-R00</t>
        </is>
      </c>
      <c r="D85" s="25" t="n">
        <v>12</v>
      </c>
      <c r="E85" s="25" t="inlineStr">
        <is>
          <t>16x125</t>
        </is>
      </c>
      <c r="F85" s="25" t="n">
        <v>860</v>
      </c>
      <c r="G85" s="25" t="n">
        <v>1.06</v>
      </c>
      <c r="H85" s="25">
        <f>G85*D85</f>
        <v/>
      </c>
      <c r="I85" s="25" t="n">
        <v>45</v>
      </c>
      <c r="J85" s="25" t="n">
        <v>31.5</v>
      </c>
      <c r="K85" s="37" t="n">
        <v>0</v>
      </c>
      <c r="L85" s="37" t="n">
        <v>40.25</v>
      </c>
      <c r="M85" s="37" t="n"/>
      <c r="N85" s="10">
        <f>G85*2400+K85+L85+M85</f>
        <v/>
      </c>
      <c r="O85" s="10">
        <f>(K85+M85)/G85</f>
        <v/>
      </c>
      <c r="P85" s="10">
        <f>L85/G85</f>
        <v/>
      </c>
      <c r="Q85" s="10">
        <f>N85*D85/1000</f>
        <v/>
      </c>
      <c r="R85" s="11">
        <f>K85*D85/1000</f>
        <v/>
      </c>
      <c r="S85" s="11">
        <f>L85*D85/1000</f>
        <v/>
      </c>
    </row>
    <row r="86" ht="46.5" customHeight="1">
      <c r="A86" s="25" t="inlineStr">
        <is>
          <t>LAJE</t>
        </is>
      </c>
      <c r="B86" s="25" t="inlineStr">
        <is>
          <t>L-2083 = L-3083 = L-4156</t>
        </is>
      </c>
      <c r="C86" s="25" t="inlineStr">
        <is>
          <t>L2083=L3083=L4156-FORMA E ARMAÇÃO-R00</t>
        </is>
      </c>
      <c r="D86" s="25" t="n">
        <v>3</v>
      </c>
      <c r="E86" s="25" t="inlineStr">
        <is>
          <t>16x125</t>
        </is>
      </c>
      <c r="F86" s="25" t="n">
        <v>714.5</v>
      </c>
      <c r="G86" s="25" t="n">
        <v>0.88</v>
      </c>
      <c r="H86" s="25">
        <f>G86*D86</f>
        <v/>
      </c>
      <c r="I86" s="25" t="n">
        <v>45</v>
      </c>
      <c r="J86" s="25" t="n">
        <v>31.5</v>
      </c>
      <c r="K86" s="37" t="n">
        <v>0</v>
      </c>
      <c r="L86" s="37" t="n">
        <v>22.06</v>
      </c>
      <c r="M86" s="37" t="n"/>
      <c r="N86" s="10">
        <f>G86*2400+K86+L86+M86</f>
        <v/>
      </c>
      <c r="O86" s="10">
        <f>(K86+M86)/G86</f>
        <v/>
      </c>
      <c r="P86" s="10">
        <f>L86/G86</f>
        <v/>
      </c>
      <c r="Q86" s="10">
        <f>N86*D86/1000</f>
        <v/>
      </c>
      <c r="R86" s="11">
        <f>K86*D86/1000</f>
        <v/>
      </c>
      <c r="S86" s="11">
        <f>L86*D86/1000</f>
        <v/>
      </c>
    </row>
    <row r="87" ht="46.5" customHeight="1">
      <c r="A87" s="25" t="inlineStr">
        <is>
          <t>LAJE</t>
        </is>
      </c>
      <c r="B87" s="25" t="inlineStr">
        <is>
          <t>L-2084 = L-3084 = L-4084</t>
        </is>
      </c>
      <c r="C87" s="25" t="inlineStr">
        <is>
          <t>L2084=L3084=L4084-FORMA E ARMAÇÃO-R00</t>
        </is>
      </c>
      <c r="D87" s="25" t="n">
        <v>24</v>
      </c>
      <c r="E87" s="25" t="inlineStr">
        <is>
          <t>16x125</t>
        </is>
      </c>
      <c r="F87" s="25" t="n">
        <v>714.5</v>
      </c>
      <c r="G87" s="25" t="n">
        <v>0.88</v>
      </c>
      <c r="H87" s="25">
        <f>G87*D87</f>
        <v/>
      </c>
      <c r="I87" s="25" t="n">
        <v>45</v>
      </c>
      <c r="J87" s="25" t="n">
        <v>31.5</v>
      </c>
      <c r="K87" s="37" t="n">
        <v>0</v>
      </c>
      <c r="L87" s="37" t="n">
        <v>22.06</v>
      </c>
      <c r="M87" s="37" t="n"/>
      <c r="N87" s="10">
        <f>G87*2400+K87+L87+M87</f>
        <v/>
      </c>
      <c r="O87" s="10">
        <f>(K87+M87)/G87</f>
        <v/>
      </c>
      <c r="P87" s="10">
        <f>L87/G87</f>
        <v/>
      </c>
      <c r="Q87" s="10">
        <f>N87*D87/1000</f>
        <v/>
      </c>
      <c r="R87" s="11">
        <f>K87*D87/1000</f>
        <v/>
      </c>
      <c r="S87" s="11">
        <f>L87*D87/1000</f>
        <v/>
      </c>
    </row>
    <row r="88" ht="46.5" customHeight="1">
      <c r="A88" s="25" t="inlineStr">
        <is>
          <t>LAJE</t>
        </is>
      </c>
      <c r="B88" s="25" t="inlineStr">
        <is>
          <t>L-2085 =L-3085 = L-4085</t>
        </is>
      </c>
      <c r="C88" s="25" t="inlineStr">
        <is>
          <t>L2085=L3085=L4085-FORMA E ARMAÇÃO-R00</t>
        </is>
      </c>
      <c r="D88" s="25" t="n">
        <v>6</v>
      </c>
      <c r="E88" s="25" t="inlineStr">
        <is>
          <t>16x70</t>
        </is>
      </c>
      <c r="F88" s="25" t="n">
        <v>714.5</v>
      </c>
      <c r="G88" s="25" t="n">
        <v>0.49</v>
      </c>
      <c r="H88" s="25">
        <f>G88*D88</f>
        <v/>
      </c>
      <c r="I88" s="25" t="n">
        <v>45</v>
      </c>
      <c r="J88" s="25" t="n">
        <v>31.5</v>
      </c>
      <c r="K88" s="37" t="n">
        <v>0</v>
      </c>
      <c r="L88" s="37" t="n">
        <v>22.06</v>
      </c>
      <c r="M88" s="37" t="n"/>
      <c r="N88" s="10">
        <f>G88*2400+K88+L88+M88</f>
        <v/>
      </c>
      <c r="O88" s="10">
        <f>(K88+M88)/G88</f>
        <v/>
      </c>
      <c r="P88" s="10">
        <f>L88/G88</f>
        <v/>
      </c>
      <c r="Q88" s="10">
        <f>N88*D88/1000</f>
        <v/>
      </c>
      <c r="R88" s="11">
        <f>K88*D88/1000</f>
        <v/>
      </c>
      <c r="S88" s="11">
        <f>L88*D88/1000</f>
        <v/>
      </c>
    </row>
    <row r="89" ht="46.5" customHeight="1">
      <c r="A89" s="25" t="inlineStr">
        <is>
          <t>LAJE</t>
        </is>
      </c>
      <c r="B89" s="25" t="inlineStr">
        <is>
          <t>L-2086 = L-3086 = L-4086</t>
        </is>
      </c>
      <c r="C89" s="25" t="inlineStr">
        <is>
          <t>L2086=L3086=L4086-FORMA E ARMAÇÃO-R00</t>
        </is>
      </c>
      <c r="D89" s="25" t="n">
        <v>3</v>
      </c>
      <c r="E89" s="25" t="inlineStr">
        <is>
          <t>16x125</t>
        </is>
      </c>
      <c r="F89" s="25" t="n">
        <v>714.5</v>
      </c>
      <c r="G89" s="25" t="n">
        <v>0.88</v>
      </c>
      <c r="H89" s="25">
        <f>G89*D89</f>
        <v/>
      </c>
      <c r="I89" s="25" t="n">
        <v>45</v>
      </c>
      <c r="J89" s="25" t="n">
        <v>31.5</v>
      </c>
      <c r="K89" s="37" t="n">
        <v>0</v>
      </c>
      <c r="L89" s="37" t="n">
        <v>22.06</v>
      </c>
      <c r="M89" s="37" t="n"/>
      <c r="N89" s="10">
        <f>G89*2400+K89+L89+M89</f>
        <v/>
      </c>
      <c r="O89" s="10">
        <f>(K89+M89)/G89</f>
        <v/>
      </c>
      <c r="P89" s="10">
        <f>L89/G89</f>
        <v/>
      </c>
      <c r="Q89" s="10">
        <f>N89*D89/1000</f>
        <v/>
      </c>
      <c r="R89" s="11">
        <f>K89*D89/1000</f>
        <v/>
      </c>
      <c r="S89" s="11">
        <f>L89*D89/1000</f>
        <v/>
      </c>
    </row>
    <row r="90" ht="46.5" customHeight="1">
      <c r="A90" s="25" t="inlineStr">
        <is>
          <t>LAJE</t>
        </is>
      </c>
      <c r="B90" s="25" t="inlineStr">
        <is>
          <t>L-2087 = L-3087 = L-4087</t>
        </is>
      </c>
      <c r="C90" s="25" t="inlineStr">
        <is>
          <t>L2087=L3087=L4087-FORMA E ARMAÇÃO-R00</t>
        </is>
      </c>
      <c r="D90" s="25" t="n">
        <v>3</v>
      </c>
      <c r="E90" s="25" t="inlineStr">
        <is>
          <t>16x125</t>
        </is>
      </c>
      <c r="F90" s="25" t="n">
        <v>714.5</v>
      </c>
      <c r="G90" s="25" t="n">
        <v>0.88</v>
      </c>
      <c r="H90" s="25">
        <f>G90*D90</f>
        <v/>
      </c>
      <c r="I90" s="25" t="n">
        <v>45</v>
      </c>
      <c r="J90" s="25" t="n">
        <v>31.5</v>
      </c>
      <c r="K90" s="37" t="n">
        <v>0</v>
      </c>
      <c r="L90" s="37" t="n">
        <v>22.06</v>
      </c>
      <c r="M90" s="37" t="n"/>
      <c r="N90" s="10">
        <f>G90*2400+K90+L90+M90</f>
        <v/>
      </c>
      <c r="O90" s="10">
        <f>(K90+M90)/G90</f>
        <v/>
      </c>
      <c r="P90" s="10">
        <f>L90/G90</f>
        <v/>
      </c>
      <c r="Q90" s="10">
        <f>N90*D90/1000</f>
        <v/>
      </c>
      <c r="R90" s="11">
        <f>K90*D90/1000</f>
        <v/>
      </c>
      <c r="S90" s="11">
        <f>L90*D90/1000</f>
        <v/>
      </c>
    </row>
    <row r="91" ht="46.5" customHeight="1">
      <c r="A91" s="25" t="inlineStr">
        <is>
          <t>LAJE</t>
        </is>
      </c>
      <c r="B91" s="25" t="inlineStr">
        <is>
          <t>L-2088 = L-3088 = L-4088</t>
        </is>
      </c>
      <c r="C91" s="25" t="inlineStr">
        <is>
          <t>L2088=L3088=L4088-FORMA E ARMAÇÃO-R00</t>
        </is>
      </c>
      <c r="D91" s="25" t="n">
        <v>3</v>
      </c>
      <c r="E91" s="25" t="inlineStr">
        <is>
          <t>16x79,5</t>
        </is>
      </c>
      <c r="F91" s="25" t="n">
        <v>234.5</v>
      </c>
      <c r="G91" s="25" t="n">
        <v>0.18</v>
      </c>
      <c r="H91" s="25">
        <f>G91*D91</f>
        <v/>
      </c>
      <c r="I91" s="25" t="n">
        <v>45</v>
      </c>
      <c r="J91" s="25" t="n">
        <v>31.5</v>
      </c>
      <c r="K91" s="37" t="n">
        <v>0</v>
      </c>
      <c r="L91" s="37" t="n">
        <v>5.17</v>
      </c>
      <c r="M91" s="37" t="n"/>
      <c r="N91" s="10">
        <f>G91*2400+K91+L91+M91</f>
        <v/>
      </c>
      <c r="O91" s="10">
        <f>(K91+M91)/G91</f>
        <v/>
      </c>
      <c r="P91" s="10">
        <f>L91/G91</f>
        <v/>
      </c>
      <c r="Q91" s="10">
        <f>N91*D91/1000</f>
        <v/>
      </c>
      <c r="R91" s="11">
        <f>K91*D91/1000</f>
        <v/>
      </c>
      <c r="S91" s="11">
        <f>L91*D91/1000</f>
        <v/>
      </c>
    </row>
    <row r="92" ht="46.5" customHeight="1">
      <c r="A92" s="25" t="inlineStr">
        <is>
          <t>LAJE</t>
        </is>
      </c>
      <c r="B92" s="25" t="inlineStr">
        <is>
          <t>L-2089 = L-3089 = L-4089</t>
        </is>
      </c>
      <c r="C92" s="25" t="inlineStr">
        <is>
          <t>L2089=L3089=L4089-FORMA E ARMAÇÃO-R00</t>
        </is>
      </c>
      <c r="D92" s="25" t="n">
        <v>3</v>
      </c>
      <c r="E92" s="25" t="inlineStr">
        <is>
          <t>16x125</t>
        </is>
      </c>
      <c r="F92" s="25" t="n">
        <v>234.5</v>
      </c>
      <c r="G92" s="25" t="n">
        <v>0.29</v>
      </c>
      <c r="H92" s="25">
        <f>G92*D92</f>
        <v/>
      </c>
      <c r="I92" s="25" t="n">
        <v>45</v>
      </c>
      <c r="J92" s="25" t="n">
        <v>31.5</v>
      </c>
      <c r="K92" s="37" t="n">
        <v>0</v>
      </c>
      <c r="L92" s="37" t="n">
        <v>5.17</v>
      </c>
      <c r="M92" s="37" t="n"/>
      <c r="N92" s="10">
        <f>G92*2400+K92+L92+M92</f>
        <v/>
      </c>
      <c r="O92" s="10">
        <f>(K92+M92)/G92</f>
        <v/>
      </c>
      <c r="P92" s="10">
        <f>L92/G92</f>
        <v/>
      </c>
      <c r="Q92" s="10">
        <f>N92*D92/1000</f>
        <v/>
      </c>
      <c r="R92" s="11">
        <f>K92*D92/1000</f>
        <v/>
      </c>
      <c r="S92" s="11">
        <f>L92*D92/1000</f>
        <v/>
      </c>
    </row>
    <row r="93" ht="46.5" customHeight="1">
      <c r="A93" s="25" t="inlineStr">
        <is>
          <t>LAJE</t>
        </is>
      </c>
      <c r="B93" s="25" t="inlineStr">
        <is>
          <t>L-2090 = L-3090 = L-4090</t>
        </is>
      </c>
      <c r="C93" s="25" t="inlineStr">
        <is>
          <t>L2090=L3090=L4090-FORMA E ARMAÇÃO-R00</t>
        </is>
      </c>
      <c r="D93" s="25" t="n">
        <v>3</v>
      </c>
      <c r="E93" s="25" t="inlineStr">
        <is>
          <t>16x81</t>
        </is>
      </c>
      <c r="F93" s="25" t="n">
        <v>234.5</v>
      </c>
      <c r="G93" s="25" t="n">
        <v>0.19</v>
      </c>
      <c r="H93" s="25">
        <f>G93*D93</f>
        <v/>
      </c>
      <c r="I93" s="25" t="n">
        <v>45</v>
      </c>
      <c r="J93" s="25" t="n">
        <v>31.5</v>
      </c>
      <c r="K93" s="37" t="n">
        <v>0</v>
      </c>
      <c r="L93" s="37" t="n">
        <v>5.17</v>
      </c>
      <c r="M93" s="37" t="n"/>
      <c r="N93" s="10">
        <f>G93*2400+K93+L93+M93</f>
        <v/>
      </c>
      <c r="O93" s="10">
        <f>(K93+M93)/G93</f>
        <v/>
      </c>
      <c r="P93" s="10">
        <f>L93/G93</f>
        <v/>
      </c>
      <c r="Q93" s="10">
        <f>N93*D93/1000</f>
        <v/>
      </c>
      <c r="R93" s="11">
        <f>K93*D93/1000</f>
        <v/>
      </c>
      <c r="S93" s="11">
        <f>L93*D93/1000</f>
        <v/>
      </c>
    </row>
    <row r="94" ht="46.5" customHeight="1">
      <c r="A94" s="25" t="inlineStr">
        <is>
          <t>LAJE</t>
        </is>
      </c>
      <c r="B94" s="25" t="inlineStr">
        <is>
          <t>L-2091 = L-3091 = L-4091</t>
        </is>
      </c>
      <c r="C94" s="25" t="inlineStr">
        <is>
          <t>L2091=L3091=L4091-FORMA E ARMAÇÃO-R00</t>
        </is>
      </c>
      <c r="D94" s="25" t="n">
        <v>3</v>
      </c>
      <c r="E94" s="25" t="inlineStr">
        <is>
          <t>16x65</t>
        </is>
      </c>
      <c r="F94" s="25" t="n">
        <v>234.5</v>
      </c>
      <c r="G94" s="25" t="n">
        <v>0.15</v>
      </c>
      <c r="H94" s="25">
        <f>G94*D94</f>
        <v/>
      </c>
      <c r="I94" s="25" t="n">
        <v>45</v>
      </c>
      <c r="J94" s="25" t="n">
        <v>31.5</v>
      </c>
      <c r="K94" s="37" t="n">
        <v>0</v>
      </c>
      <c r="L94" s="37" t="n">
        <v>5.17</v>
      </c>
      <c r="M94" s="37" t="n"/>
      <c r="N94" s="10">
        <f>G94*2400+K94+L94+M94</f>
        <v/>
      </c>
      <c r="O94" s="10">
        <f>(K94+M94)/G94</f>
        <v/>
      </c>
      <c r="P94" s="10">
        <f>L94/G94</f>
        <v/>
      </c>
      <c r="Q94" s="10">
        <f>N94*D94/1000</f>
        <v/>
      </c>
      <c r="R94" s="11">
        <f>K94*D94/1000</f>
        <v/>
      </c>
      <c r="S94" s="11">
        <f>L94*D94/1000</f>
        <v/>
      </c>
    </row>
    <row r="95" ht="46.5" customHeight="1">
      <c r="A95" s="25" t="inlineStr">
        <is>
          <t>LAJE</t>
        </is>
      </c>
      <c r="B95" s="25" t="inlineStr">
        <is>
          <t>L-2092 = L-3092 =L-4092</t>
        </is>
      </c>
      <c r="C95" s="25" t="inlineStr">
        <is>
          <t>L2092=L3092=L4092-FORMA E ARMAÇÃO-R00</t>
        </is>
      </c>
      <c r="D95" s="25" t="n">
        <v>6</v>
      </c>
      <c r="E95" s="25" t="inlineStr">
        <is>
          <t>16x125</t>
        </is>
      </c>
      <c r="F95" s="25" t="n">
        <v>725</v>
      </c>
      <c r="G95" s="25" t="n">
        <v>0.89</v>
      </c>
      <c r="H95" s="25">
        <f>G95*D95</f>
        <v/>
      </c>
      <c r="I95" s="25" t="n">
        <v>45</v>
      </c>
      <c r="J95" s="25" t="n">
        <v>31.5</v>
      </c>
      <c r="K95" s="37" t="n">
        <v>0</v>
      </c>
      <c r="L95" s="37" t="n">
        <v>22.38</v>
      </c>
      <c r="M95" s="37" t="n"/>
      <c r="N95" s="10">
        <f>G95*2400+K95+L95+M95</f>
        <v/>
      </c>
      <c r="O95" s="10">
        <f>(K95+M95)/G95</f>
        <v/>
      </c>
      <c r="P95" s="10">
        <f>L95/G95</f>
        <v/>
      </c>
      <c r="Q95" s="10">
        <f>N95*D95/1000</f>
        <v/>
      </c>
      <c r="R95" s="11">
        <f>K95*D95/1000</f>
        <v/>
      </c>
      <c r="S95" s="11">
        <f>L95*D95/1000</f>
        <v/>
      </c>
    </row>
    <row r="96" ht="46.5" customHeight="1">
      <c r="A96" s="25" t="inlineStr">
        <is>
          <t>LAJE</t>
        </is>
      </c>
      <c r="B96" s="25" t="inlineStr">
        <is>
          <t>L-2093 = L-3093 = L-4093</t>
        </is>
      </c>
      <c r="C96" s="25" t="inlineStr">
        <is>
          <t>L2093=L3093=L4093-FORMA E ARMAÇÃO-R00</t>
        </is>
      </c>
      <c r="D96" s="25" t="n">
        <v>60</v>
      </c>
      <c r="E96" s="25" t="inlineStr">
        <is>
          <t>16x125</t>
        </is>
      </c>
      <c r="F96" s="25" t="n">
        <v>725</v>
      </c>
      <c r="G96" s="25" t="n">
        <v>0.9</v>
      </c>
      <c r="H96" s="25">
        <f>G96*D96</f>
        <v/>
      </c>
      <c r="I96" s="25" t="n">
        <v>45</v>
      </c>
      <c r="J96" s="25" t="n">
        <v>31.5</v>
      </c>
      <c r="K96" s="37" t="n">
        <v>0</v>
      </c>
      <c r="L96" s="37" t="n">
        <v>22.38</v>
      </c>
      <c r="M96" s="37" t="n"/>
      <c r="N96" s="10">
        <f>G96*2400+K96+L96+M96</f>
        <v/>
      </c>
      <c r="O96" s="10">
        <f>(K96+M96)/G96</f>
        <v/>
      </c>
      <c r="P96" s="10">
        <f>L96/G96</f>
        <v/>
      </c>
      <c r="Q96" s="10">
        <f>N96*D96/1000</f>
        <v/>
      </c>
      <c r="R96" s="11">
        <f>K96*D96/1000</f>
        <v/>
      </c>
      <c r="S96" s="11">
        <f>L96*D96/1000</f>
        <v/>
      </c>
    </row>
    <row r="97" ht="46.5" customHeight="1">
      <c r="A97" s="25" t="inlineStr">
        <is>
          <t>LAJE</t>
        </is>
      </c>
      <c r="B97" s="25" t="inlineStr">
        <is>
          <t>L-2094 = L-3094 = L-4094</t>
        </is>
      </c>
      <c r="C97" s="25" t="inlineStr">
        <is>
          <t>L2094=L3094=L4094-FORMA E ARMAÇÃO-R00</t>
        </is>
      </c>
      <c r="D97" s="25" t="n">
        <v>6</v>
      </c>
      <c r="E97" s="25" t="inlineStr">
        <is>
          <t>16x65</t>
        </is>
      </c>
      <c r="F97" s="25" t="n">
        <v>725</v>
      </c>
      <c r="G97" s="25" t="n">
        <v>0.46</v>
      </c>
      <c r="H97" s="25">
        <f>G97*D97</f>
        <v/>
      </c>
      <c r="I97" s="25" t="n">
        <v>45</v>
      </c>
      <c r="J97" s="25" t="n">
        <v>31.5</v>
      </c>
      <c r="K97" s="37" t="n">
        <v>0</v>
      </c>
      <c r="L97" s="37" t="n">
        <v>22.38</v>
      </c>
      <c r="M97" s="37" t="n"/>
      <c r="N97" s="10">
        <f>G97*2400+K97+L97+M97</f>
        <v/>
      </c>
      <c r="O97" s="10">
        <f>(K97+M97)/G97</f>
        <v/>
      </c>
      <c r="P97" s="10">
        <f>L97/G97</f>
        <v/>
      </c>
      <c r="Q97" s="10">
        <f>N97*D97/1000</f>
        <v/>
      </c>
      <c r="R97" s="11">
        <f>K97*D97/1000</f>
        <v/>
      </c>
      <c r="S97" s="11">
        <f>L97*D97/1000</f>
        <v/>
      </c>
    </row>
    <row r="98" ht="46.5" customHeight="1">
      <c r="A98" s="25" t="inlineStr">
        <is>
          <t>LAJE</t>
        </is>
      </c>
      <c r="B98" s="25" t="inlineStr">
        <is>
          <t>L-2095 = L-3095 = L-4095</t>
        </is>
      </c>
      <c r="C98" s="25" t="inlineStr">
        <is>
          <t>L2095=L3095=L4095-FORMA E ARMAÇÃO-R00</t>
        </is>
      </c>
      <c r="D98" s="25" t="n">
        <v>6</v>
      </c>
      <c r="E98" s="25" t="inlineStr">
        <is>
          <t>16x125</t>
        </is>
      </c>
      <c r="F98" s="25" t="n">
        <v>725</v>
      </c>
      <c r="G98" s="25" t="n">
        <v>0.89</v>
      </c>
      <c r="H98" s="25">
        <f>G98*D98</f>
        <v/>
      </c>
      <c r="I98" s="25" t="n">
        <v>45</v>
      </c>
      <c r="J98" s="25" t="n">
        <v>31.5</v>
      </c>
      <c r="K98" s="37" t="n">
        <v>0</v>
      </c>
      <c r="L98" s="37" t="n">
        <v>22.38</v>
      </c>
      <c r="M98" s="37" t="n"/>
      <c r="N98" s="10">
        <f>G98*2400+K98+L98+M98</f>
        <v/>
      </c>
      <c r="O98" s="10">
        <f>(K98+M98)/G98</f>
        <v/>
      </c>
      <c r="P98" s="10">
        <f>L98/G98</f>
        <v/>
      </c>
      <c r="Q98" s="10">
        <f>N98*D98/1000</f>
        <v/>
      </c>
      <c r="R98" s="11">
        <f>K98*D98/1000</f>
        <v/>
      </c>
      <c r="S98" s="11">
        <f>L98*D98/1000</f>
        <v/>
      </c>
    </row>
    <row r="99" ht="46.5" customHeight="1">
      <c r="A99" s="25" t="inlineStr">
        <is>
          <t>LAJE</t>
        </is>
      </c>
      <c r="B99" s="25" t="inlineStr">
        <is>
          <t>L-2096 = L-3096 = L-4096</t>
        </is>
      </c>
      <c r="C99" s="25" t="inlineStr">
        <is>
          <t>L2096=L3096=L4096-FORMA E ARMAÇÃO-R00</t>
        </is>
      </c>
      <c r="D99" s="25" t="n">
        <v>6</v>
      </c>
      <c r="E99" s="25" t="inlineStr">
        <is>
          <t>16x67</t>
        </is>
      </c>
      <c r="F99" s="25" t="n">
        <v>725</v>
      </c>
      <c r="G99" s="25" t="n">
        <v>0.47</v>
      </c>
      <c r="H99" s="25">
        <f>G99*D99</f>
        <v/>
      </c>
      <c r="I99" s="25" t="n">
        <v>45</v>
      </c>
      <c r="J99" s="25" t="n">
        <v>31.5</v>
      </c>
      <c r="K99" s="37" t="n">
        <v>0</v>
      </c>
      <c r="L99" s="37" t="n">
        <v>22.38</v>
      </c>
      <c r="M99" s="37" t="n"/>
      <c r="N99" s="10">
        <f>G99*2400+K99+L99+M99</f>
        <v/>
      </c>
      <c r="O99" s="10">
        <f>(K99+M99)/G99</f>
        <v/>
      </c>
      <c r="P99" s="10">
        <f>L99/G99</f>
        <v/>
      </c>
      <c r="Q99" s="10">
        <f>N99*D99/1000</f>
        <v/>
      </c>
      <c r="R99" s="11">
        <f>K99*D99/1000</f>
        <v/>
      </c>
      <c r="S99" s="11">
        <f>L99*D99/1000</f>
        <v/>
      </c>
    </row>
    <row r="100" ht="46.5" customHeight="1">
      <c r="A100" s="25" t="inlineStr">
        <is>
          <t>LAJE</t>
        </is>
      </c>
      <c r="B100" s="25" t="inlineStr">
        <is>
          <t>L-2097 = L-3097 = L-4097</t>
        </is>
      </c>
      <c r="C100" s="25" t="inlineStr">
        <is>
          <t>L2097= L3097=L4097-FORMA E ARMAÇÃO-R00</t>
        </is>
      </c>
      <c r="D100" s="25" t="n">
        <v>6</v>
      </c>
      <c r="E100" s="25" t="inlineStr">
        <is>
          <t>16x125</t>
        </is>
      </c>
      <c r="F100" s="25" t="n">
        <v>725</v>
      </c>
      <c r="G100" s="25" t="n">
        <v>0.89</v>
      </c>
      <c r="H100" s="25">
        <f>G100*D100</f>
        <v/>
      </c>
      <c r="I100" s="25" t="n">
        <v>45</v>
      </c>
      <c r="J100" s="25" t="n">
        <v>31.5</v>
      </c>
      <c r="K100" s="37" t="n">
        <v>0</v>
      </c>
      <c r="L100" s="37" t="n">
        <v>22.38</v>
      </c>
      <c r="M100" s="37" t="n"/>
      <c r="N100" s="10">
        <f>G100*2400+K100+L100+M100</f>
        <v/>
      </c>
      <c r="O100" s="10">
        <f>(K100+M100)/G100</f>
        <v/>
      </c>
      <c r="P100" s="10">
        <f>L100/G100</f>
        <v/>
      </c>
      <c r="Q100" s="10">
        <f>N100*D100/1000</f>
        <v/>
      </c>
      <c r="R100" s="11">
        <f>K100*D100/1000</f>
        <v/>
      </c>
      <c r="S100" s="11">
        <f>L100*D100/1000</f>
        <v/>
      </c>
    </row>
    <row r="101" ht="46.5" customHeight="1">
      <c r="A101" s="25" t="inlineStr">
        <is>
          <t>LAJE</t>
        </is>
      </c>
      <c r="B101" s="25" t="inlineStr">
        <is>
          <t>L-2098 = L-3098 = L-4098</t>
        </is>
      </c>
      <c r="C101" s="25" t="inlineStr">
        <is>
          <t>L2098=L3098=L4098-FORMA E ARMAÇÃO-R00</t>
        </is>
      </c>
      <c r="D101" s="25" t="n">
        <v>6</v>
      </c>
      <c r="E101" s="25" t="inlineStr">
        <is>
          <t>16x113</t>
        </is>
      </c>
      <c r="F101" s="25" t="n">
        <v>725</v>
      </c>
      <c r="G101" s="25" t="n">
        <v>0.8100000000000001</v>
      </c>
      <c r="H101" s="25">
        <f>G101*D101</f>
        <v/>
      </c>
      <c r="I101" s="25" t="n">
        <v>45</v>
      </c>
      <c r="J101" s="25" t="n">
        <v>31.5</v>
      </c>
      <c r="K101" s="37" t="n">
        <v>0</v>
      </c>
      <c r="L101" s="37" t="n">
        <v>22.38</v>
      </c>
      <c r="M101" s="37" t="n"/>
      <c r="N101" s="10">
        <f>G101*2400+K101+L101+M101</f>
        <v/>
      </c>
      <c r="O101" s="10">
        <f>(K101+M101)/G101</f>
        <v/>
      </c>
      <c r="P101" s="10">
        <f>L101/G101</f>
        <v/>
      </c>
      <c r="Q101" s="10">
        <f>N101*D101/1000</f>
        <v/>
      </c>
      <c r="R101" s="11">
        <f>K101*D101/1000</f>
        <v/>
      </c>
      <c r="S101" s="11">
        <f>L101*D101/1000</f>
        <v/>
      </c>
    </row>
    <row r="102" ht="46.5" customHeight="1">
      <c r="A102" s="25" t="inlineStr">
        <is>
          <t>LAJE</t>
        </is>
      </c>
      <c r="B102" s="25" t="inlineStr">
        <is>
          <t>L-2099 = L-3099 = L-4099</t>
        </is>
      </c>
      <c r="C102" s="25" t="inlineStr">
        <is>
          <t>L2099=L3099=L4099-FORMA E ARMAÇÃO-R00</t>
        </is>
      </c>
      <c r="D102" s="25" t="n">
        <v>3</v>
      </c>
      <c r="E102" s="25" t="inlineStr">
        <is>
          <t>16x125</t>
        </is>
      </c>
      <c r="F102" s="25" t="n">
        <v>725</v>
      </c>
      <c r="G102" s="25" t="n">
        <v>0.9</v>
      </c>
      <c r="H102" s="25">
        <f>G102*D102</f>
        <v/>
      </c>
      <c r="I102" s="25" t="n">
        <v>45</v>
      </c>
      <c r="J102" s="25" t="n">
        <v>31.5</v>
      </c>
      <c r="K102" s="37" t="n">
        <v>0</v>
      </c>
      <c r="L102" s="37" t="n">
        <v>22.38</v>
      </c>
      <c r="M102" s="37" t="n"/>
      <c r="N102" s="10">
        <f>G102*2400+K102+L102+M102</f>
        <v/>
      </c>
      <c r="O102" s="10">
        <f>(K102+M102)/G102</f>
        <v/>
      </c>
      <c r="P102" s="10">
        <f>L102/G102</f>
        <v/>
      </c>
      <c r="Q102" s="10">
        <f>N102*D102/1000</f>
        <v/>
      </c>
      <c r="R102" s="11">
        <f>K102*D102/1000</f>
        <v/>
      </c>
      <c r="S102" s="11">
        <f>L102*D102/1000</f>
        <v/>
      </c>
    </row>
    <row r="103" ht="46.5" customHeight="1">
      <c r="A103" s="25" t="inlineStr">
        <is>
          <t>LAJE</t>
        </is>
      </c>
      <c r="B103" s="25" t="inlineStr">
        <is>
          <t>L-2100 = L-4100</t>
        </is>
      </c>
      <c r="C103" s="25" t="inlineStr">
        <is>
          <t>L2100=L4100-FORMA E ARMAÇÃO-R00</t>
        </is>
      </c>
      <c r="D103" s="25" t="n">
        <v>4</v>
      </c>
      <c r="E103" s="25" t="inlineStr">
        <is>
          <t>16x125</t>
        </is>
      </c>
      <c r="F103" s="25" t="n">
        <v>485</v>
      </c>
      <c r="G103" s="25" t="n">
        <v>0.6</v>
      </c>
      <c r="H103" s="25">
        <f>G103*D103</f>
        <v/>
      </c>
      <c r="I103" s="25" t="n">
        <v>45</v>
      </c>
      <c r="J103" s="25" t="n">
        <v>31.5</v>
      </c>
      <c r="K103" s="37" t="n">
        <v>0</v>
      </c>
      <c r="L103" s="37" t="n">
        <v>10.69</v>
      </c>
      <c r="M103" s="37" t="n"/>
      <c r="N103" s="10">
        <f>G103*2400+K103+L103+M103</f>
        <v/>
      </c>
      <c r="O103" s="10">
        <f>(K103+M103)/G103</f>
        <v/>
      </c>
      <c r="P103" s="10">
        <f>L103/G103</f>
        <v/>
      </c>
      <c r="Q103" s="10">
        <f>N103*D103/1000</f>
        <v/>
      </c>
      <c r="R103" s="11">
        <f>K103*D103/1000</f>
        <v/>
      </c>
      <c r="S103" s="11">
        <f>L103*D103/1000</f>
        <v/>
      </c>
    </row>
    <row r="104" ht="46.5" customHeight="1">
      <c r="A104" s="25" t="inlineStr">
        <is>
          <t>LAJE</t>
        </is>
      </c>
      <c r="B104" s="25" t="inlineStr">
        <is>
          <t>L-2101 = L-4101</t>
        </is>
      </c>
      <c r="C104" s="25" t="inlineStr">
        <is>
          <t>L2101=L4101-FORMA E ARMAÇÃO-R00</t>
        </is>
      </c>
      <c r="D104" s="25" t="n">
        <v>24</v>
      </c>
      <c r="E104" s="25" t="inlineStr">
        <is>
          <t>16x125</t>
        </is>
      </c>
      <c r="F104" s="25" t="n">
        <v>485</v>
      </c>
      <c r="G104" s="25" t="n">
        <v>0.6</v>
      </c>
      <c r="H104" s="25">
        <f>G104*D104</f>
        <v/>
      </c>
      <c r="I104" s="25" t="n">
        <v>45</v>
      </c>
      <c r="J104" s="25" t="n">
        <v>31.5</v>
      </c>
      <c r="K104" s="37" t="n">
        <v>0</v>
      </c>
      <c r="L104" s="37" t="n">
        <v>10.69</v>
      </c>
      <c r="M104" s="37" t="n"/>
      <c r="N104" s="10">
        <f>G104*2400+K104+L104+M104</f>
        <v/>
      </c>
      <c r="O104" s="10">
        <f>(K104+M104)/G104</f>
        <v/>
      </c>
      <c r="P104" s="10">
        <f>L104/G104</f>
        <v/>
      </c>
      <c r="Q104" s="10">
        <f>N104*D104/1000</f>
        <v/>
      </c>
      <c r="R104" s="11">
        <f>K104*D104/1000</f>
        <v/>
      </c>
      <c r="S104" s="11">
        <f>L104*D104/1000</f>
        <v/>
      </c>
    </row>
    <row r="105" ht="46.5" customHeight="1">
      <c r="A105" s="25" t="inlineStr">
        <is>
          <t>LAJE</t>
        </is>
      </c>
      <c r="B105" s="25" t="inlineStr">
        <is>
          <t>L-2102 = L-4102</t>
        </is>
      </c>
      <c r="C105" s="25" t="inlineStr">
        <is>
          <t>L2102=L4102-FORMA E ARMAÇÃO-R00</t>
        </is>
      </c>
      <c r="D105" s="25" t="n">
        <v>4</v>
      </c>
      <c r="E105" s="25" t="inlineStr">
        <is>
          <t>16x65</t>
        </is>
      </c>
      <c r="F105" s="25" t="n">
        <v>485</v>
      </c>
      <c r="G105" s="25" t="n">
        <v>0.31</v>
      </c>
      <c r="H105" s="25">
        <f>G105*D105</f>
        <v/>
      </c>
      <c r="I105" s="25" t="n">
        <v>45</v>
      </c>
      <c r="J105" s="25" t="n">
        <v>31.5</v>
      </c>
      <c r="K105" s="37" t="n">
        <v>0</v>
      </c>
      <c r="L105" s="37" t="n">
        <v>10.69</v>
      </c>
      <c r="M105" s="37" t="n"/>
      <c r="N105" s="10">
        <f>G105*2400+K105+L105+M105</f>
        <v/>
      </c>
      <c r="O105" s="10">
        <f>(K105+M105)/G105</f>
        <v/>
      </c>
      <c r="P105" s="10">
        <f>L105/G105</f>
        <v/>
      </c>
      <c r="Q105" s="10">
        <f>N105*D105/1000</f>
        <v/>
      </c>
      <c r="R105" s="11">
        <f>K105*D105/1000</f>
        <v/>
      </c>
      <c r="S105" s="11">
        <f>L105*D105/1000</f>
        <v/>
      </c>
    </row>
    <row r="106" ht="46.5" customHeight="1">
      <c r="A106" s="25" t="inlineStr">
        <is>
          <t>LAJE</t>
        </is>
      </c>
      <c r="B106" s="25" t="inlineStr">
        <is>
          <t>L-2103 = L-4103</t>
        </is>
      </c>
      <c r="C106" s="25" t="inlineStr">
        <is>
          <t>L2103=L4103-FORMA E ARMAÇÃO-R00</t>
        </is>
      </c>
      <c r="D106" s="25" t="n">
        <v>4</v>
      </c>
      <c r="E106" s="25" t="inlineStr">
        <is>
          <t>16x125</t>
        </is>
      </c>
      <c r="F106" s="25" t="n">
        <v>485</v>
      </c>
      <c r="G106" s="25" t="n">
        <v>0.6</v>
      </c>
      <c r="H106" s="25">
        <f>G106*D106</f>
        <v/>
      </c>
      <c r="I106" s="25" t="n">
        <v>45</v>
      </c>
      <c r="J106" s="25" t="n">
        <v>31.5</v>
      </c>
      <c r="K106" s="37" t="n">
        <v>0</v>
      </c>
      <c r="L106" s="37" t="n">
        <v>10.69</v>
      </c>
      <c r="M106" s="37" t="n"/>
      <c r="N106" s="10">
        <f>G106*2400+K106+L106+M106</f>
        <v/>
      </c>
      <c r="O106" s="10">
        <f>(K106+M106)/G106</f>
        <v/>
      </c>
      <c r="P106" s="10">
        <f>L106/G106</f>
        <v/>
      </c>
      <c r="Q106" s="10">
        <f>N106*D106/1000</f>
        <v/>
      </c>
      <c r="R106" s="11">
        <f>K106*D106/1000</f>
        <v/>
      </c>
      <c r="S106" s="11">
        <f>L106*D106/1000</f>
        <v/>
      </c>
    </row>
    <row r="107" ht="46.5" customHeight="1">
      <c r="A107" s="25" t="inlineStr">
        <is>
          <t>LAJE</t>
        </is>
      </c>
      <c r="B107" s="25" t="inlineStr">
        <is>
          <t>L-2104 = L-4104</t>
        </is>
      </c>
      <c r="C107" s="25" t="inlineStr">
        <is>
          <t>L2104=L4104-FORMA E ARMAÇÃO-R00</t>
        </is>
      </c>
      <c r="D107" s="49" t="n">
        <v>4</v>
      </c>
      <c r="E107" s="25" t="inlineStr">
        <is>
          <t>16x66</t>
        </is>
      </c>
      <c r="F107" s="25" t="n">
        <v>485</v>
      </c>
      <c r="G107" s="25" t="n">
        <v>0.32</v>
      </c>
      <c r="H107" s="25">
        <f>G107*D107</f>
        <v/>
      </c>
      <c r="I107" s="25" t="n">
        <v>45</v>
      </c>
      <c r="J107" s="25" t="n">
        <v>31.5</v>
      </c>
      <c r="K107" s="37" t="n">
        <v>0</v>
      </c>
      <c r="L107" s="37" t="n">
        <v>10.69</v>
      </c>
      <c r="M107" s="37" t="n"/>
      <c r="N107" s="10">
        <f>G107*2400+K107+L107+M107</f>
        <v/>
      </c>
      <c r="O107" s="10">
        <f>(K107+M107)/G107</f>
        <v/>
      </c>
      <c r="P107" s="10">
        <f>L107/G107</f>
        <v/>
      </c>
      <c r="Q107" s="10">
        <f>N107*D107/1000</f>
        <v/>
      </c>
      <c r="R107" s="11">
        <f>K107*D107/1000</f>
        <v/>
      </c>
      <c r="S107" s="11">
        <f>L107*D107/1000</f>
        <v/>
      </c>
    </row>
    <row r="108" ht="46.5" customHeight="1">
      <c r="A108" s="25" t="inlineStr">
        <is>
          <t>LAJE</t>
        </is>
      </c>
      <c r="B108" s="25" t="inlineStr">
        <is>
          <t>L-2105 = L-4105</t>
        </is>
      </c>
      <c r="C108" s="25" t="inlineStr">
        <is>
          <t>L2105=L4105-FORMA E ARMAÇÃO-R00</t>
        </is>
      </c>
      <c r="D108" s="25" t="n">
        <v>4</v>
      </c>
      <c r="E108" s="25" t="inlineStr">
        <is>
          <t>16x125</t>
        </is>
      </c>
      <c r="F108" s="25" t="n">
        <v>485</v>
      </c>
      <c r="G108" s="25" t="n">
        <v>0.6</v>
      </c>
      <c r="H108" s="25">
        <f>G108*D108</f>
        <v/>
      </c>
      <c r="I108" s="25" t="n">
        <v>45</v>
      </c>
      <c r="J108" s="25" t="n">
        <v>31.5</v>
      </c>
      <c r="K108" s="37" t="n">
        <v>0</v>
      </c>
      <c r="L108" s="37" t="n">
        <v>10.69</v>
      </c>
      <c r="M108" s="37" t="n"/>
      <c r="N108" s="10">
        <f>G108*2400+K108+L108+M108</f>
        <v/>
      </c>
      <c r="O108" s="10">
        <f>(K108+M108)/G108</f>
        <v/>
      </c>
      <c r="P108" s="10">
        <f>L108/G108</f>
        <v/>
      </c>
      <c r="Q108" s="10">
        <f>N108*D108/1000</f>
        <v/>
      </c>
      <c r="R108" s="11">
        <f>K108*D108/1000</f>
        <v/>
      </c>
      <c r="S108" s="11">
        <f>L108*D108/1000</f>
        <v/>
      </c>
    </row>
    <row r="109" ht="46.5" customHeight="1">
      <c r="A109" s="25" t="inlineStr">
        <is>
          <t>LAJE</t>
        </is>
      </c>
      <c r="B109" s="25" t="inlineStr">
        <is>
          <t>L-2112</t>
        </is>
      </c>
      <c r="C109" s="25" t="inlineStr">
        <is>
          <t>L2112-FORMA E ARMAÇÃO-R00</t>
        </is>
      </c>
      <c r="D109" s="49" t="n">
        <v>1</v>
      </c>
      <c r="E109" s="25" t="inlineStr">
        <is>
          <t>21x125</t>
        </is>
      </c>
      <c r="F109" s="25" t="n">
        <v>1005</v>
      </c>
      <c r="G109" s="25" t="n">
        <v>1.5</v>
      </c>
      <c r="H109" s="25">
        <f>G109*D109</f>
        <v/>
      </c>
      <c r="I109" s="25" t="n">
        <v>45</v>
      </c>
      <c r="J109" s="25" t="n">
        <v>31.5</v>
      </c>
      <c r="K109" s="37" t="n">
        <v>0</v>
      </c>
      <c r="L109" s="37" t="n">
        <v>47.76</v>
      </c>
      <c r="M109" s="37" t="n"/>
      <c r="N109" s="10">
        <f>G109*2400+K109+L109+M109</f>
        <v/>
      </c>
      <c r="O109" s="10">
        <f>(K109+M109)/G109</f>
        <v/>
      </c>
      <c r="P109" s="10">
        <f>L109/G109</f>
        <v/>
      </c>
      <c r="Q109" s="10">
        <f>N109*D109/1000</f>
        <v/>
      </c>
      <c r="R109" s="11">
        <f>K109*D109/1000</f>
        <v/>
      </c>
      <c r="S109" s="11">
        <f>L109*D109/1000</f>
        <v/>
      </c>
    </row>
    <row r="110" ht="46.5" customHeight="1">
      <c r="A110" s="25" t="inlineStr">
        <is>
          <t>LAJE</t>
        </is>
      </c>
      <c r="B110" s="25" t="inlineStr">
        <is>
          <t>L-2113</t>
        </is>
      </c>
      <c r="C110" s="25" t="inlineStr">
        <is>
          <t>L2113-FORMA E ARMAÇÃO-R00</t>
        </is>
      </c>
      <c r="D110" s="25" t="n">
        <v>8</v>
      </c>
      <c r="E110" s="25" t="inlineStr">
        <is>
          <t>21x125</t>
        </is>
      </c>
      <c r="F110" s="25" t="n">
        <v>1005</v>
      </c>
      <c r="G110" s="25" t="n">
        <v>1.5</v>
      </c>
      <c r="H110" s="25">
        <f>G110*D110</f>
        <v/>
      </c>
      <c r="I110" s="25" t="n">
        <v>45</v>
      </c>
      <c r="J110" s="25" t="n">
        <v>31.5</v>
      </c>
      <c r="K110" s="37" t="n">
        <v>0</v>
      </c>
      <c r="L110" s="37" t="n">
        <v>47.76</v>
      </c>
      <c r="M110" s="37" t="n"/>
      <c r="N110" s="10">
        <f>G110*2400+K110+L110+M110</f>
        <v/>
      </c>
      <c r="O110" s="10">
        <f>(K110+M110)/G110</f>
        <v/>
      </c>
      <c r="P110" s="10">
        <f>L110/G110</f>
        <v/>
      </c>
      <c r="Q110" s="10">
        <f>N110*D110/1000</f>
        <v/>
      </c>
      <c r="R110" s="11">
        <f>K110*D110/1000</f>
        <v/>
      </c>
      <c r="S110" s="11">
        <f>L110*D110/1000</f>
        <v/>
      </c>
    </row>
    <row r="111" ht="46.5" customHeight="1">
      <c r="A111" s="25" t="inlineStr">
        <is>
          <t>LAJE</t>
        </is>
      </c>
      <c r="B111" s="25" t="inlineStr">
        <is>
          <t>L-2114</t>
        </is>
      </c>
      <c r="C111" s="25" t="inlineStr">
        <is>
          <t>L2114-FORMA E ARMAÇÃO-R00</t>
        </is>
      </c>
      <c r="D111" s="25" t="n">
        <v>1</v>
      </c>
      <c r="E111" s="25" t="inlineStr">
        <is>
          <t>21x125</t>
        </is>
      </c>
      <c r="F111" s="25" t="n">
        <v>1005</v>
      </c>
      <c r="G111" s="25" t="n">
        <v>1.49</v>
      </c>
      <c r="H111" s="25">
        <f>G111*D111</f>
        <v/>
      </c>
      <c r="I111" s="25" t="n">
        <v>45</v>
      </c>
      <c r="J111" s="25" t="n">
        <v>31.5</v>
      </c>
      <c r="K111" s="37" t="n">
        <v>0</v>
      </c>
      <c r="L111" s="37" t="n">
        <v>47.76</v>
      </c>
      <c r="M111" s="37" t="n"/>
      <c r="N111" s="10">
        <f>G111*2400+K111+L111+M111</f>
        <v/>
      </c>
      <c r="O111" s="10">
        <f>(K111+M111)/G111</f>
        <v/>
      </c>
      <c r="P111" s="10">
        <f>L111/G111</f>
        <v/>
      </c>
      <c r="Q111" s="10">
        <f>N111*D111/1000</f>
        <v/>
      </c>
      <c r="R111" s="11">
        <f>K111*D111/1000</f>
        <v/>
      </c>
      <c r="S111" s="11">
        <f>L111*D111/1000</f>
        <v/>
      </c>
    </row>
    <row r="112" ht="46.5" customHeight="1">
      <c r="A112" s="25" t="inlineStr">
        <is>
          <t>LAJE</t>
        </is>
      </c>
      <c r="B112" s="25" t="inlineStr">
        <is>
          <t>L-2115</t>
        </is>
      </c>
      <c r="C112" s="25" t="inlineStr">
        <is>
          <t>L2115-FORMA E ARMAÇÃO-R00</t>
        </is>
      </c>
      <c r="D112" s="49" t="n">
        <v>1</v>
      </c>
      <c r="E112" s="25" t="inlineStr">
        <is>
          <t>21x125</t>
        </is>
      </c>
      <c r="F112" s="25" t="n">
        <v>1005</v>
      </c>
      <c r="G112" s="25" t="n">
        <v>1.5</v>
      </c>
      <c r="H112" s="25">
        <f>G112*D112</f>
        <v/>
      </c>
      <c r="I112" s="25" t="n">
        <v>45</v>
      </c>
      <c r="J112" s="25" t="n">
        <v>31.5</v>
      </c>
      <c r="K112" s="37" t="n">
        <v>0</v>
      </c>
      <c r="L112" s="37" t="n">
        <v>47.76</v>
      </c>
      <c r="M112" s="37" t="n"/>
      <c r="N112" s="10">
        <f>G112*2400+K112+L112+M112</f>
        <v/>
      </c>
      <c r="O112" s="10">
        <f>(K112+M112)/G112</f>
        <v/>
      </c>
      <c r="P112" s="10">
        <f>L112/G112</f>
        <v/>
      </c>
      <c r="Q112" s="10">
        <f>N112*D112/1000</f>
        <v/>
      </c>
      <c r="R112" s="11">
        <f>K112*D112/1000</f>
        <v/>
      </c>
      <c r="S112" s="11">
        <f>L112*D112/1000</f>
        <v/>
      </c>
    </row>
    <row r="113" ht="46.5" customHeight="1">
      <c r="A113" s="25" t="inlineStr">
        <is>
          <t>LAJE</t>
        </is>
      </c>
      <c r="B113" s="25" t="inlineStr">
        <is>
          <t>L-2121</t>
        </is>
      </c>
      <c r="C113" s="25" t="inlineStr">
        <is>
          <t>L2121-FORMA E ARMAÇÃO-R00</t>
        </is>
      </c>
      <c r="D113" s="25" t="n">
        <v>1</v>
      </c>
      <c r="E113" s="25" t="inlineStr">
        <is>
          <t>21x125</t>
        </is>
      </c>
      <c r="F113" s="25" t="n">
        <v>1031</v>
      </c>
      <c r="G113" s="25" t="n">
        <v>1.52</v>
      </c>
      <c r="H113" s="25">
        <f>G113*D113</f>
        <v/>
      </c>
      <c r="I113" s="25" t="n">
        <v>45</v>
      </c>
      <c r="J113" s="25" t="n">
        <v>31.5</v>
      </c>
      <c r="K113" s="37" t="n">
        <v>0</v>
      </c>
      <c r="L113" s="37" t="n">
        <v>48.99</v>
      </c>
      <c r="M113" s="37" t="n"/>
      <c r="N113" s="10">
        <f>G113*2400+K113+L113+M113</f>
        <v/>
      </c>
      <c r="O113" s="10">
        <f>(K113+M113)/G113</f>
        <v/>
      </c>
      <c r="P113" s="10">
        <f>L113/G113</f>
        <v/>
      </c>
      <c r="Q113" s="10">
        <f>N113*D113/1000</f>
        <v/>
      </c>
      <c r="R113" s="11">
        <f>K113*D113/1000</f>
        <v/>
      </c>
      <c r="S113" s="11">
        <f>L113*D113/1000</f>
        <v/>
      </c>
    </row>
    <row r="114" ht="46.5" customHeight="1">
      <c r="A114" s="25" t="inlineStr">
        <is>
          <t>LAJE</t>
        </is>
      </c>
      <c r="B114" s="25" t="inlineStr">
        <is>
          <t>L-2122</t>
        </is>
      </c>
      <c r="C114" s="25" t="inlineStr">
        <is>
          <t>L2122-FORMA E ARMAÇÃO-R01</t>
        </is>
      </c>
      <c r="D114" s="25" t="n">
        <v>19</v>
      </c>
      <c r="E114" s="25" t="inlineStr">
        <is>
          <t>21x125</t>
        </is>
      </c>
      <c r="F114" s="25" t="n">
        <v>1031</v>
      </c>
      <c r="G114" s="25" t="n">
        <v>1.54</v>
      </c>
      <c r="H114" s="25">
        <f>G114*D114</f>
        <v/>
      </c>
      <c r="I114" s="25" t="n">
        <v>45</v>
      </c>
      <c r="J114" s="25" t="n">
        <v>31.5</v>
      </c>
      <c r="K114" s="37" t="n">
        <v>0</v>
      </c>
      <c r="L114" s="37" t="n">
        <v>48.99</v>
      </c>
      <c r="M114" s="37" t="n"/>
      <c r="N114" s="10">
        <f>G114*2400+K114+L114+M114</f>
        <v/>
      </c>
      <c r="O114" s="10">
        <f>(K114+M114)/G114</f>
        <v/>
      </c>
      <c r="P114" s="10">
        <f>L114/G114</f>
        <v/>
      </c>
      <c r="Q114" s="10">
        <f>N114*D114/1000</f>
        <v/>
      </c>
      <c r="R114" s="11">
        <f>K114*D114/1000</f>
        <v/>
      </c>
      <c r="S114" s="11">
        <f>L114*D114/1000</f>
        <v/>
      </c>
    </row>
    <row r="115" ht="46.5" customHeight="1">
      <c r="A115" s="25" t="inlineStr">
        <is>
          <t>LAJE</t>
        </is>
      </c>
      <c r="B115" s="25" t="inlineStr">
        <is>
          <t>L-2122A</t>
        </is>
      </c>
      <c r="C115" s="25" t="inlineStr">
        <is>
          <t>L2122A-FORMA E ARMAÇÃO-R00</t>
        </is>
      </c>
      <c r="D115" s="25" t="n">
        <v>1</v>
      </c>
      <c r="E115" s="25" t="inlineStr">
        <is>
          <t>21x125</t>
        </is>
      </c>
      <c r="F115" s="25" t="n">
        <v>1031</v>
      </c>
      <c r="G115" s="25" t="n">
        <v>1.53</v>
      </c>
      <c r="H115" s="25">
        <f>G115*D115</f>
        <v/>
      </c>
      <c r="I115" s="25" t="n">
        <v>45</v>
      </c>
      <c r="J115" s="25" t="n">
        <v>31.5</v>
      </c>
      <c r="K115" s="37" t="n">
        <v>0</v>
      </c>
      <c r="L115" s="37" t="n">
        <v>48.99</v>
      </c>
      <c r="M115" s="37" t="n"/>
      <c r="N115" s="10">
        <f>G115*2400+K115+L115+M115</f>
        <v/>
      </c>
      <c r="O115" s="10">
        <f>(K115+M115)/G115</f>
        <v/>
      </c>
      <c r="P115" s="10">
        <f>L115/G115</f>
        <v/>
      </c>
      <c r="Q115" s="10">
        <f>N115*D115/1000</f>
        <v/>
      </c>
      <c r="R115" s="11">
        <f>K115*D115/1000</f>
        <v/>
      </c>
      <c r="S115" s="11">
        <f>L115*D115/1000</f>
        <v/>
      </c>
    </row>
    <row r="116" ht="46.5" customHeight="1">
      <c r="A116" s="25" t="inlineStr">
        <is>
          <t>LAJE</t>
        </is>
      </c>
      <c r="B116" s="25" t="inlineStr">
        <is>
          <t>L-2122B</t>
        </is>
      </c>
      <c r="C116" s="25" t="inlineStr">
        <is>
          <t>L2122B-FORMA E ARMAÇÃO-R00</t>
        </is>
      </c>
      <c r="D116" s="25" t="n">
        <v>1</v>
      </c>
      <c r="E116" s="25" t="inlineStr">
        <is>
          <t>21x125</t>
        </is>
      </c>
      <c r="F116" s="25" t="n">
        <v>1031</v>
      </c>
      <c r="G116" s="25" t="n">
        <v>1.52</v>
      </c>
      <c r="H116" s="25">
        <f>G116*D116</f>
        <v/>
      </c>
      <c r="I116" s="25" t="n">
        <v>45</v>
      </c>
      <c r="J116" s="25" t="n">
        <v>31.5</v>
      </c>
      <c r="K116" s="37" t="n">
        <v>0</v>
      </c>
      <c r="L116" s="37" t="n">
        <v>48.99</v>
      </c>
      <c r="M116" s="37" t="n"/>
      <c r="N116" s="10">
        <f>G116*2400+K116+L116+M116</f>
        <v/>
      </c>
      <c r="O116" s="10">
        <f>(K116+M116)/G116</f>
        <v/>
      </c>
      <c r="P116" s="10">
        <f>L116/G116</f>
        <v/>
      </c>
      <c r="Q116" s="10">
        <f>N116*D116/1000</f>
        <v/>
      </c>
      <c r="R116" s="11">
        <f>K116*D116/1000</f>
        <v/>
      </c>
      <c r="S116" s="11">
        <f>L116*D116/1000</f>
        <v/>
      </c>
    </row>
    <row r="117" ht="46.5" customHeight="1">
      <c r="A117" s="25" t="inlineStr">
        <is>
          <t>LAJE</t>
        </is>
      </c>
      <c r="B117" s="25" t="inlineStr">
        <is>
          <t>L-2123</t>
        </is>
      </c>
      <c r="C117" s="25" t="inlineStr">
        <is>
          <t>L2123-FORMA E ARMAÇÃO-R00</t>
        </is>
      </c>
      <c r="D117" s="25" t="n">
        <v>3</v>
      </c>
      <c r="E117" s="25" t="inlineStr">
        <is>
          <t>21x71</t>
        </is>
      </c>
      <c r="F117" s="25" t="n">
        <v>1031</v>
      </c>
      <c r="G117" s="25" t="n">
        <v>0.86</v>
      </c>
      <c r="H117" s="25">
        <f>G117*D117</f>
        <v/>
      </c>
      <c r="I117" s="25" t="n">
        <v>45</v>
      </c>
      <c r="J117" s="25" t="n">
        <v>31.5</v>
      </c>
      <c r="K117" s="37" t="n">
        <v>0</v>
      </c>
      <c r="L117" s="37" t="n">
        <v>48.99</v>
      </c>
      <c r="M117" s="37" t="n"/>
      <c r="N117" s="10">
        <f>G117*2400+K117+L117+M117</f>
        <v/>
      </c>
      <c r="O117" s="10">
        <f>(K117+M117)/G117</f>
        <v/>
      </c>
      <c r="P117" s="10">
        <f>L117/G117</f>
        <v/>
      </c>
      <c r="Q117" s="10">
        <f>N117*D117/1000</f>
        <v/>
      </c>
      <c r="R117" s="11">
        <f>K117*D117/1000</f>
        <v/>
      </c>
      <c r="S117" s="11">
        <f>L117*D117/1000</f>
        <v/>
      </c>
    </row>
    <row r="118" ht="46.5" customHeight="1">
      <c r="A118" s="25" t="inlineStr">
        <is>
          <t>LAJE</t>
        </is>
      </c>
      <c r="B118" s="25" t="inlineStr">
        <is>
          <t>L-2124</t>
        </is>
      </c>
      <c r="C118" s="25" t="inlineStr">
        <is>
          <t>L2124-FORMA E ARMAÇÃO-R00</t>
        </is>
      </c>
      <c r="D118" s="25" t="n">
        <v>1</v>
      </c>
      <c r="E118" s="25" t="inlineStr">
        <is>
          <t>21x125</t>
        </is>
      </c>
      <c r="F118" s="25" t="n">
        <v>1031</v>
      </c>
      <c r="G118" s="25" t="n">
        <v>1.52</v>
      </c>
      <c r="H118" s="25">
        <f>G118*D118</f>
        <v/>
      </c>
      <c r="I118" s="25" t="n">
        <v>45</v>
      </c>
      <c r="J118" s="25" t="n">
        <v>31.5</v>
      </c>
      <c r="K118" s="37" t="n">
        <v>0</v>
      </c>
      <c r="L118" s="37" t="n">
        <v>48.99</v>
      </c>
      <c r="M118" s="37" t="n"/>
      <c r="N118" s="10">
        <f>G118*2400+K118+L118+M118</f>
        <v/>
      </c>
      <c r="O118" s="10">
        <f>(K118+M118)/G118</f>
        <v/>
      </c>
      <c r="P118" s="10">
        <f>L118/G118</f>
        <v/>
      </c>
      <c r="Q118" s="10">
        <f>N118*D118/1000</f>
        <v/>
      </c>
      <c r="R118" s="11">
        <f>K118*D118/1000</f>
        <v/>
      </c>
      <c r="S118" s="11">
        <f>L118*D118/1000</f>
        <v/>
      </c>
    </row>
    <row r="119" ht="46.5" customHeight="1">
      <c r="A119" s="25" t="inlineStr">
        <is>
          <t>LAJE</t>
        </is>
      </c>
      <c r="B119" s="25" t="inlineStr">
        <is>
          <t>L-2125</t>
        </is>
      </c>
      <c r="C119" s="25" t="inlineStr">
        <is>
          <t>L2125-FORMA E ARMAÇÃO-R00</t>
        </is>
      </c>
      <c r="D119" s="49" t="n">
        <v>1</v>
      </c>
      <c r="E119" s="25" t="inlineStr">
        <is>
          <t>21x125</t>
        </is>
      </c>
      <c r="F119" s="25" t="n">
        <v>1031</v>
      </c>
      <c r="G119" s="25" t="n">
        <v>1.53</v>
      </c>
      <c r="H119" s="25">
        <f>G119*D119</f>
        <v/>
      </c>
      <c r="I119" s="25" t="n">
        <v>45</v>
      </c>
      <c r="J119" s="25" t="n">
        <v>31.5</v>
      </c>
      <c r="K119" s="37" t="n">
        <v>0</v>
      </c>
      <c r="L119" s="37" t="n">
        <v>48.99</v>
      </c>
      <c r="M119" s="37" t="n"/>
      <c r="N119" s="10">
        <f>G119*2400+K119+L119+M119</f>
        <v/>
      </c>
      <c r="O119" s="10">
        <f>(K119+M119)/G119</f>
        <v/>
      </c>
      <c r="P119" s="10">
        <f>L119/G119</f>
        <v/>
      </c>
      <c r="Q119" s="10">
        <f>N119*D119/1000</f>
        <v/>
      </c>
      <c r="R119" s="11">
        <f>K119*D119/1000</f>
        <v/>
      </c>
      <c r="S119" s="11">
        <f>L119*D119/1000</f>
        <v/>
      </c>
    </row>
    <row r="120" ht="46.5" customHeight="1">
      <c r="A120" s="25" t="inlineStr">
        <is>
          <t>LAJE</t>
        </is>
      </c>
      <c r="B120" s="25" t="inlineStr">
        <is>
          <t>L-2126</t>
        </is>
      </c>
      <c r="C120" s="25" t="inlineStr">
        <is>
          <t>L2126-FORMA E ARMAÇÃO-R00</t>
        </is>
      </c>
      <c r="D120" s="25" t="n">
        <v>1</v>
      </c>
      <c r="E120" s="25" t="inlineStr">
        <is>
          <t>21x125</t>
        </is>
      </c>
      <c r="F120" s="25" t="n">
        <v>1031</v>
      </c>
      <c r="G120" s="25" t="n">
        <v>1.52</v>
      </c>
      <c r="H120" s="25">
        <f>G120*D120</f>
        <v/>
      </c>
      <c r="I120" s="25" t="n">
        <v>45</v>
      </c>
      <c r="J120" s="25" t="n">
        <v>31.5</v>
      </c>
      <c r="K120" s="37" t="n">
        <v>0</v>
      </c>
      <c r="L120" s="37" t="n">
        <v>48.99</v>
      </c>
      <c r="M120" s="37" t="n"/>
      <c r="N120" s="10">
        <f>G120*2400+K120+L120+M120</f>
        <v/>
      </c>
      <c r="O120" s="10">
        <f>(K120+M120)/G120</f>
        <v/>
      </c>
      <c r="P120" s="10">
        <f>L120/G120</f>
        <v/>
      </c>
      <c r="Q120" s="10">
        <f>N120*D120/1000</f>
        <v/>
      </c>
      <c r="R120" s="11">
        <f>K120*D120/1000</f>
        <v/>
      </c>
      <c r="S120" s="11">
        <f>L120*D120/1000</f>
        <v/>
      </c>
    </row>
    <row r="121" ht="46.5" customHeight="1">
      <c r="A121" s="25" t="inlineStr">
        <is>
          <t>LAJE</t>
        </is>
      </c>
      <c r="B121" s="25" t="inlineStr">
        <is>
          <t>L-2127</t>
        </is>
      </c>
      <c r="C121" s="25" t="inlineStr">
        <is>
          <t>L2127-FORMA E ARMAÇÃO-R00</t>
        </is>
      </c>
      <c r="D121" s="25" t="n">
        <v>1</v>
      </c>
      <c r="E121" s="25" t="inlineStr">
        <is>
          <t>21x125</t>
        </is>
      </c>
      <c r="F121" s="25" t="n">
        <v>1031</v>
      </c>
      <c r="G121" s="25" t="n">
        <v>1.53</v>
      </c>
      <c r="H121" s="25">
        <f>G121*D121</f>
        <v/>
      </c>
      <c r="I121" s="25" t="n">
        <v>45</v>
      </c>
      <c r="J121" s="25" t="n">
        <v>31.5</v>
      </c>
      <c r="K121" s="37" t="n">
        <v>0</v>
      </c>
      <c r="L121" s="37" t="n">
        <v>48.99</v>
      </c>
      <c r="M121" s="37" t="n"/>
      <c r="N121" s="10">
        <f>G121*2400+K121+L121+M121</f>
        <v/>
      </c>
      <c r="O121" s="10">
        <f>(K121+M121)/G121</f>
        <v/>
      </c>
      <c r="P121" s="10">
        <f>L121/G121</f>
        <v/>
      </c>
      <c r="Q121" s="10">
        <f>N121*D121/1000</f>
        <v/>
      </c>
      <c r="R121" s="11">
        <f>K121*D121/1000</f>
        <v/>
      </c>
      <c r="S121" s="11">
        <f>L121*D121/1000</f>
        <v/>
      </c>
    </row>
    <row r="122" ht="46.5" customHeight="1">
      <c r="A122" s="25" t="inlineStr">
        <is>
          <t>LAJE</t>
        </is>
      </c>
      <c r="B122" s="25" t="inlineStr">
        <is>
          <t>L-2128</t>
        </is>
      </c>
      <c r="C122" s="25" t="inlineStr">
        <is>
          <t>L2128-FORMA E ARMAÇÃO-R00</t>
        </is>
      </c>
      <c r="D122" s="25" t="n">
        <v>1</v>
      </c>
      <c r="E122" s="25" t="inlineStr">
        <is>
          <t>21x71</t>
        </is>
      </c>
      <c r="F122" s="25" t="n">
        <v>1031</v>
      </c>
      <c r="G122" s="25" t="n">
        <v>0.86</v>
      </c>
      <c r="H122" s="25">
        <f>G122*D122</f>
        <v/>
      </c>
      <c r="I122" s="25" t="n">
        <v>45</v>
      </c>
      <c r="J122" s="25" t="n">
        <v>31.5</v>
      </c>
      <c r="K122" s="37" t="n">
        <v>0</v>
      </c>
      <c r="L122" s="37" t="n">
        <v>48.99</v>
      </c>
      <c r="M122" s="37" t="n"/>
      <c r="N122" s="10">
        <f>G122*2400+K122+L122+M122</f>
        <v/>
      </c>
      <c r="O122" s="10">
        <f>(K122+M122)/G122</f>
        <v/>
      </c>
      <c r="P122" s="10">
        <f>L122/G122</f>
        <v/>
      </c>
      <c r="Q122" s="10">
        <f>N122*D122/1000</f>
        <v/>
      </c>
      <c r="R122" s="11">
        <f>K122*D122/1000</f>
        <v/>
      </c>
      <c r="S122" s="11">
        <f>L122*D122/1000</f>
        <v/>
      </c>
    </row>
    <row r="123" ht="46.5" customHeight="1">
      <c r="A123" s="25" t="inlineStr">
        <is>
          <t>LAJE</t>
        </is>
      </c>
      <c r="B123" s="25" t="inlineStr">
        <is>
          <t>L-2129</t>
        </is>
      </c>
      <c r="C123" s="25" t="inlineStr">
        <is>
          <t>L2129-FORMA E ARMAÇÃO-R00</t>
        </is>
      </c>
      <c r="D123" s="49" t="n">
        <v>1</v>
      </c>
      <c r="E123" s="25" t="inlineStr">
        <is>
          <t>21x125</t>
        </is>
      </c>
      <c r="F123" s="25" t="n">
        <v>1031</v>
      </c>
      <c r="G123" s="25" t="n">
        <v>1.52</v>
      </c>
      <c r="H123" s="25">
        <f>G123*D123</f>
        <v/>
      </c>
      <c r="I123" s="25" t="n">
        <v>45</v>
      </c>
      <c r="J123" s="25" t="n">
        <v>31.5</v>
      </c>
      <c r="K123" s="37" t="n">
        <v>0</v>
      </c>
      <c r="L123" s="37" t="n">
        <v>48.99</v>
      </c>
      <c r="M123" s="37" t="n"/>
      <c r="N123" s="10">
        <f>G123*2400+K123+L123+M123</f>
        <v/>
      </c>
      <c r="O123" s="10">
        <f>(K123+M123)/G123</f>
        <v/>
      </c>
      <c r="P123" s="10">
        <f>L123/G123</f>
        <v/>
      </c>
      <c r="Q123" s="10">
        <f>N123*D123/1000</f>
        <v/>
      </c>
      <c r="R123" s="11">
        <f>K123*D123/1000</f>
        <v/>
      </c>
      <c r="S123" s="11">
        <f>L123*D123/1000</f>
        <v/>
      </c>
    </row>
    <row r="124" ht="46.5" customHeight="1">
      <c r="A124" s="25" t="inlineStr">
        <is>
          <t>LAJE</t>
        </is>
      </c>
      <c r="B124" s="25" t="inlineStr">
        <is>
          <t>L-2130</t>
        </is>
      </c>
      <c r="C124" s="25" t="inlineStr">
        <is>
          <t>L2130-FORMA E ARMAÇÃO-R00</t>
        </is>
      </c>
      <c r="D124" s="25" t="n">
        <v>1</v>
      </c>
      <c r="E124" s="25" t="inlineStr">
        <is>
          <t>21x125</t>
        </is>
      </c>
      <c r="F124" s="25" t="n">
        <v>1031</v>
      </c>
      <c r="G124" s="25" t="n">
        <v>1.53</v>
      </c>
      <c r="H124" s="25">
        <f>G124*D124</f>
        <v/>
      </c>
      <c r="I124" s="25" t="n">
        <v>45</v>
      </c>
      <c r="J124" s="25" t="n">
        <v>31.5</v>
      </c>
      <c r="K124" s="37" t="n">
        <v>0</v>
      </c>
      <c r="L124" s="37" t="n">
        <v>48.99</v>
      </c>
      <c r="M124" s="37" t="n"/>
      <c r="N124" s="10">
        <f>G124*2400+K124+L124+M124</f>
        <v/>
      </c>
      <c r="O124" s="10">
        <f>(K124+M124)/G124</f>
        <v/>
      </c>
      <c r="P124" s="10">
        <f>L124/G124</f>
        <v/>
      </c>
      <c r="Q124" s="10">
        <f>N124*D124/1000</f>
        <v/>
      </c>
      <c r="R124" s="11">
        <f>K124*D124/1000</f>
        <v/>
      </c>
      <c r="S124" s="11">
        <f>L124*D124/1000</f>
        <v/>
      </c>
    </row>
    <row r="125" ht="46.5" customHeight="1">
      <c r="A125" s="25" t="inlineStr">
        <is>
          <t>LAJE</t>
        </is>
      </c>
      <c r="B125" s="25" t="inlineStr">
        <is>
          <t>L-2131</t>
        </is>
      </c>
      <c r="C125" s="25" t="inlineStr">
        <is>
          <t>L2131-FORMA E ARMAÇÃO-R00</t>
        </is>
      </c>
      <c r="D125" s="25" t="n">
        <v>1</v>
      </c>
      <c r="E125" s="25" t="inlineStr">
        <is>
          <t>21x71</t>
        </is>
      </c>
      <c r="F125" s="25" t="n">
        <v>1031</v>
      </c>
      <c r="G125" s="25" t="n">
        <v>0.86</v>
      </c>
      <c r="H125" s="25">
        <f>G125*D125</f>
        <v/>
      </c>
      <c r="I125" s="25" t="n">
        <v>45</v>
      </c>
      <c r="J125" s="25" t="n">
        <v>31.5</v>
      </c>
      <c r="K125" s="37" t="n">
        <v>0</v>
      </c>
      <c r="L125" s="37" t="n">
        <v>48.99</v>
      </c>
      <c r="M125" s="37" t="n"/>
      <c r="N125" s="10">
        <f>G125*2400+K125+L125+M125</f>
        <v/>
      </c>
      <c r="O125" s="10">
        <f>(K125+M125)/G125</f>
        <v/>
      </c>
      <c r="P125" s="10">
        <f>L125/G125</f>
        <v/>
      </c>
      <c r="Q125" s="10">
        <f>N125*D125/1000</f>
        <v/>
      </c>
      <c r="R125" s="11">
        <f>K125*D125/1000</f>
        <v/>
      </c>
      <c r="S125" s="11">
        <f>L125*D125/1000</f>
        <v/>
      </c>
    </row>
    <row r="126" ht="46.5" customHeight="1">
      <c r="A126" s="25" t="inlineStr">
        <is>
          <t>LAJE</t>
        </is>
      </c>
      <c r="B126" s="25" t="inlineStr">
        <is>
          <t>L-2132</t>
        </is>
      </c>
      <c r="C126" s="25" t="inlineStr">
        <is>
          <t>L2132-FORMA E ARMAÇÃO-R00</t>
        </is>
      </c>
      <c r="D126" s="25" t="n">
        <v>1</v>
      </c>
      <c r="E126" s="25" t="inlineStr">
        <is>
          <t>21x71</t>
        </is>
      </c>
      <c r="F126" s="25" t="n">
        <v>1031</v>
      </c>
      <c r="G126" s="25" t="n">
        <v>0.86</v>
      </c>
      <c r="H126" s="25">
        <f>G126*D126</f>
        <v/>
      </c>
      <c r="I126" s="25" t="n">
        <v>45</v>
      </c>
      <c r="J126" s="25" t="n">
        <v>31.5</v>
      </c>
      <c r="K126" s="37" t="n">
        <v>0</v>
      </c>
      <c r="L126" s="37" t="n">
        <v>48.99</v>
      </c>
      <c r="M126" s="37" t="n"/>
      <c r="N126" s="10">
        <f>G126*2400+K126+L126+M126</f>
        <v/>
      </c>
      <c r="O126" s="10">
        <f>(K126+M126)/G126</f>
        <v/>
      </c>
      <c r="P126" s="10">
        <f>L126/G126</f>
        <v/>
      </c>
      <c r="Q126" s="10">
        <f>N126*D126/1000</f>
        <v/>
      </c>
      <c r="R126" s="11">
        <f>K126*D126/1000</f>
        <v/>
      </c>
      <c r="S126" s="11">
        <f>L126*D126/1000</f>
        <v/>
      </c>
    </row>
    <row r="127" ht="46.5" customHeight="1">
      <c r="A127" s="25" t="inlineStr">
        <is>
          <t>LAJE</t>
        </is>
      </c>
      <c r="B127" s="25" t="inlineStr">
        <is>
          <t>L-2133</t>
        </is>
      </c>
      <c r="C127" s="25" t="inlineStr">
        <is>
          <t>L2133-FORMA E ARMAÇÃO-R00</t>
        </is>
      </c>
      <c r="D127" s="25" t="n">
        <v>1</v>
      </c>
      <c r="E127" s="25" t="inlineStr">
        <is>
          <t>21x84</t>
        </is>
      </c>
      <c r="F127" s="25" t="n">
        <v>1031</v>
      </c>
      <c r="G127" s="25" t="n">
        <v>1.03</v>
      </c>
      <c r="H127" s="25">
        <f>G127*D127</f>
        <v/>
      </c>
      <c r="I127" s="25" t="n">
        <v>45</v>
      </c>
      <c r="J127" s="25" t="n">
        <v>31.5</v>
      </c>
      <c r="K127" s="37" t="n">
        <v>0</v>
      </c>
      <c r="L127" s="37" t="n">
        <v>48.99</v>
      </c>
      <c r="M127" s="37" t="n"/>
      <c r="N127" s="10">
        <f>G127*2400+K127+L127+M127</f>
        <v/>
      </c>
      <c r="O127" s="10">
        <f>(K127+M127)/G127</f>
        <v/>
      </c>
      <c r="P127" s="10">
        <f>L127/G127</f>
        <v/>
      </c>
      <c r="Q127" s="10">
        <f>N127*D127/1000</f>
        <v/>
      </c>
      <c r="R127" s="11">
        <f>K127*D127/1000</f>
        <v/>
      </c>
      <c r="S127" s="11">
        <f>L127*D127/1000</f>
        <v/>
      </c>
    </row>
    <row r="128" ht="46.5" customHeight="1">
      <c r="A128" s="25" t="inlineStr">
        <is>
          <t>LAJE</t>
        </is>
      </c>
      <c r="B128" s="25" t="inlineStr">
        <is>
          <t>L-2134</t>
        </is>
      </c>
      <c r="C128" s="25" t="inlineStr">
        <is>
          <t>L2134-FORMA E ARMAÇÃO-R00</t>
        </is>
      </c>
      <c r="D128" s="25" t="n">
        <v>1</v>
      </c>
      <c r="E128" s="25" t="inlineStr">
        <is>
          <t>21x125</t>
        </is>
      </c>
      <c r="F128" s="25" t="n">
        <v>1031</v>
      </c>
      <c r="G128" s="25" t="n">
        <v>1.53</v>
      </c>
      <c r="H128" s="25">
        <f>G128*D128</f>
        <v/>
      </c>
      <c r="I128" s="25" t="n">
        <v>45</v>
      </c>
      <c r="J128" s="25" t="n">
        <v>31.5</v>
      </c>
      <c r="K128" s="37" t="n">
        <v>0</v>
      </c>
      <c r="L128" s="37" t="n">
        <v>48.99</v>
      </c>
      <c r="M128" s="37" t="n"/>
      <c r="N128" s="10">
        <f>G128*2400+K128+L128+M128</f>
        <v/>
      </c>
      <c r="O128" s="10">
        <f>(K128+M128)/G128</f>
        <v/>
      </c>
      <c r="P128" s="10">
        <f>L128/G128</f>
        <v/>
      </c>
      <c r="Q128" s="10">
        <f>N128*D128/1000</f>
        <v/>
      </c>
      <c r="R128" s="11">
        <f>K128*D128/1000</f>
        <v/>
      </c>
      <c r="S128" s="11">
        <f>L128*D128/1000</f>
        <v/>
      </c>
    </row>
    <row r="129" ht="46.5" customHeight="1">
      <c r="A129" s="25" t="inlineStr">
        <is>
          <t>LAJE</t>
        </is>
      </c>
      <c r="B129" s="25" t="inlineStr">
        <is>
          <t>L-2135</t>
        </is>
      </c>
      <c r="C129" s="25" t="inlineStr">
        <is>
          <t>L2135-FORMA E ARMAÇÃO-R00</t>
        </is>
      </c>
      <c r="D129" s="25" t="n">
        <v>1</v>
      </c>
      <c r="E129" s="25" t="inlineStr">
        <is>
          <t>21x84</t>
        </is>
      </c>
      <c r="F129" s="25" t="n">
        <v>1031</v>
      </c>
      <c r="G129" s="25" t="n">
        <v>1.03</v>
      </c>
      <c r="H129" s="25">
        <f>G129*D129</f>
        <v/>
      </c>
      <c r="I129" s="25" t="n">
        <v>45</v>
      </c>
      <c r="J129" s="25" t="n">
        <v>31.5</v>
      </c>
      <c r="K129" s="37" t="n">
        <v>0</v>
      </c>
      <c r="L129" s="37" t="n">
        <v>48.99</v>
      </c>
      <c r="M129" s="37" t="n"/>
      <c r="N129" s="10">
        <f>G129*2400+K129+L129+M129</f>
        <v/>
      </c>
      <c r="O129" s="10">
        <f>(K129+M129)/G129</f>
        <v/>
      </c>
      <c r="P129" s="10">
        <f>L129/G129</f>
        <v/>
      </c>
      <c r="Q129" s="10">
        <f>N129*D129/1000</f>
        <v/>
      </c>
      <c r="R129" s="11">
        <f>K129*D129/1000</f>
        <v/>
      </c>
      <c r="S129" s="11">
        <f>L129*D129/1000</f>
        <v/>
      </c>
    </row>
    <row r="130" ht="46.5" customHeight="1">
      <c r="A130" s="25" t="inlineStr">
        <is>
          <t>LAJE</t>
        </is>
      </c>
      <c r="B130" s="25" t="inlineStr">
        <is>
          <t>L-2153 = L-3166 L-4148</t>
        </is>
      </c>
      <c r="C130" s="25" t="inlineStr">
        <is>
          <t>L2153=L3166=L4148-FORMA E ARMAÇÃO-R00</t>
        </is>
      </c>
      <c r="D130" s="25" t="n">
        <v>2</v>
      </c>
      <c r="E130" s="25" t="inlineStr">
        <is>
          <t>16x125</t>
        </is>
      </c>
      <c r="F130" s="25" t="n">
        <v>234.5</v>
      </c>
      <c r="G130" s="25" t="n">
        <v>0.29</v>
      </c>
      <c r="H130" s="25">
        <f>G130*D130</f>
        <v/>
      </c>
      <c r="I130" s="25" t="n">
        <v>45</v>
      </c>
      <c r="J130" s="25" t="n">
        <v>31.5</v>
      </c>
      <c r="K130" s="37" t="n">
        <v>0</v>
      </c>
      <c r="L130" s="37" t="n">
        <v>5.17</v>
      </c>
      <c r="M130" s="37" t="n"/>
      <c r="N130" s="10">
        <f>G130*2400+K130+L130+M130</f>
        <v/>
      </c>
      <c r="O130" s="10">
        <f>(K130+M130)/G130</f>
        <v/>
      </c>
      <c r="P130" s="10">
        <f>L130/G130</f>
        <v/>
      </c>
      <c r="Q130" s="10">
        <f>N130*D130/1000</f>
        <v/>
      </c>
      <c r="R130" s="11">
        <f>K130*D130/1000</f>
        <v/>
      </c>
      <c r="S130" s="11">
        <f>L130*D130/1000</f>
        <v/>
      </c>
    </row>
    <row r="131" ht="46.5" customHeight="1">
      <c r="A131" s="25" t="inlineStr">
        <is>
          <t>LAJE</t>
        </is>
      </c>
      <c r="B131" s="25" t="inlineStr">
        <is>
          <t>L-2154 = L-3167 = L-4151</t>
        </is>
      </c>
      <c r="C131" s="25" t="inlineStr">
        <is>
          <t>L2154=L3167=L4151-FORMA E ARMAÇÃO-R00</t>
        </is>
      </c>
      <c r="D131" s="25" t="n">
        <v>3</v>
      </c>
      <c r="E131" s="25" t="inlineStr">
        <is>
          <t>16x125</t>
        </is>
      </c>
      <c r="F131" s="25" t="n">
        <v>87</v>
      </c>
      <c r="G131" s="25" t="n">
        <v>0.11</v>
      </c>
      <c r="H131" s="25">
        <f>G131*D131</f>
        <v/>
      </c>
      <c r="I131" s="25" t="n">
        <v>45</v>
      </c>
      <c r="J131" s="25" t="n">
        <v>31.5</v>
      </c>
      <c r="K131" s="37" t="n">
        <v>0</v>
      </c>
      <c r="L131" s="37" t="n">
        <v>1.92</v>
      </c>
      <c r="M131" s="37" t="n"/>
      <c r="N131" s="10">
        <f>G131*2400+K131+L131+M131</f>
        <v/>
      </c>
      <c r="O131" s="10">
        <f>(K131+M131)/G131</f>
        <v/>
      </c>
      <c r="P131" s="10">
        <f>L131/G131</f>
        <v/>
      </c>
      <c r="Q131" s="10">
        <f>N131*D131/1000</f>
        <v/>
      </c>
      <c r="R131" s="11">
        <f>K131*D131/1000</f>
        <v/>
      </c>
      <c r="S131" s="11">
        <f>L131*D131/1000</f>
        <v/>
      </c>
    </row>
    <row r="132" ht="46.5" customHeight="1">
      <c r="A132" s="25" t="inlineStr">
        <is>
          <t>LAJE</t>
        </is>
      </c>
      <c r="B132" s="25" t="inlineStr">
        <is>
          <t>L-2155 = L-3175 = L-4155</t>
        </is>
      </c>
      <c r="C132" s="25" t="inlineStr">
        <is>
          <t>L2155=L3175=L4155-FORMA E ARMAÇÃO-R00</t>
        </is>
      </c>
      <c r="D132" s="25" t="n">
        <v>3</v>
      </c>
      <c r="E132" s="25" t="inlineStr">
        <is>
          <t>16x125</t>
        </is>
      </c>
      <c r="F132" s="25" t="n">
        <v>484.5</v>
      </c>
      <c r="G132" s="25" t="n">
        <v>0.6</v>
      </c>
      <c r="H132" s="25">
        <f>G132*D132</f>
        <v/>
      </c>
      <c r="I132" s="25" t="n">
        <v>45</v>
      </c>
      <c r="J132" s="25" t="n">
        <v>31.5</v>
      </c>
      <c r="K132" s="37" t="n">
        <v>0</v>
      </c>
      <c r="L132" s="37" t="n">
        <v>14.96</v>
      </c>
      <c r="M132" s="37" t="n"/>
      <c r="N132" s="10">
        <f>G132*2400+K132+L132+M132</f>
        <v/>
      </c>
      <c r="O132" s="10">
        <f>(K132+M132)/G132</f>
        <v/>
      </c>
      <c r="P132" s="10">
        <f>L132/G132</f>
        <v/>
      </c>
      <c r="Q132" s="10">
        <f>N132*D132/1000</f>
        <v/>
      </c>
      <c r="R132" s="11">
        <f>K132*D132/1000</f>
        <v/>
      </c>
      <c r="S132" s="11">
        <f>L132*D132/1000</f>
        <v/>
      </c>
    </row>
    <row r="133" ht="46.5" customHeight="1">
      <c r="A133" s="25" t="inlineStr">
        <is>
          <t>LAJE</t>
        </is>
      </c>
      <c r="B133" s="25" t="inlineStr">
        <is>
          <t>L-2156 = L-3176 = L-4157</t>
        </is>
      </c>
      <c r="C133" s="25" t="inlineStr">
        <is>
          <t>L2156=L3176=L4157-FORMA E ARMAÇÃO-R00</t>
        </is>
      </c>
      <c r="D133" s="25" t="n">
        <v>3</v>
      </c>
      <c r="E133" s="25" t="inlineStr">
        <is>
          <t>16x125</t>
        </is>
      </c>
      <c r="F133" s="25" t="n">
        <v>725</v>
      </c>
      <c r="G133" s="25" t="n">
        <v>0.9</v>
      </c>
      <c r="H133" s="25">
        <f>G133*D133</f>
        <v/>
      </c>
      <c r="I133" s="25" t="n">
        <v>45</v>
      </c>
      <c r="J133" s="25" t="n">
        <v>31.5</v>
      </c>
      <c r="K133" s="37" t="n">
        <v>0</v>
      </c>
      <c r="L133" s="37" t="n">
        <v>22.38</v>
      </c>
      <c r="M133" s="37" t="n"/>
      <c r="N133" s="10">
        <f>G133*2400+K133+L133+M133</f>
        <v/>
      </c>
      <c r="O133" s="10">
        <f>(K133+M133)/G133</f>
        <v/>
      </c>
      <c r="P133" s="10">
        <f>L133/G133</f>
        <v/>
      </c>
      <c r="Q133" s="10">
        <f>N133*D133/1000</f>
        <v/>
      </c>
      <c r="R133" s="11">
        <f>K133*D133/1000</f>
        <v/>
      </c>
      <c r="S133" s="11">
        <f>L133*D133/1000</f>
        <v/>
      </c>
    </row>
    <row r="134" ht="46.5" customHeight="1">
      <c r="A134" s="25" t="inlineStr">
        <is>
          <t>LAJE</t>
        </is>
      </c>
      <c r="B134" s="25" t="inlineStr">
        <is>
          <t>L-2157 = L-3174 = L-4158</t>
        </is>
      </c>
      <c r="C134" s="25" t="inlineStr">
        <is>
          <t>L2157=L3174=L4158-FORMA E ARMAÇÃO-R00</t>
        </is>
      </c>
      <c r="D134" s="25" t="n">
        <v>6</v>
      </c>
      <c r="E134" s="25" t="inlineStr">
        <is>
          <t>16x125</t>
        </is>
      </c>
      <c r="F134" s="25" t="n">
        <v>484.5</v>
      </c>
      <c r="G134" s="25" t="n">
        <v>0.6</v>
      </c>
      <c r="H134" s="25">
        <f>G134*D134</f>
        <v/>
      </c>
      <c r="I134" s="25" t="n">
        <v>45</v>
      </c>
      <c r="J134" s="25" t="n">
        <v>31.5</v>
      </c>
      <c r="K134" s="37" t="n">
        <v>0</v>
      </c>
      <c r="L134" s="37" t="n">
        <v>14.96</v>
      </c>
      <c r="M134" s="37" t="n"/>
      <c r="N134" s="10">
        <f>G134*2400+K134+L134+M134</f>
        <v/>
      </c>
      <c r="O134" s="10">
        <f>(K134+M134)/G134</f>
        <v/>
      </c>
      <c r="P134" s="10">
        <f>L134/G134</f>
        <v/>
      </c>
      <c r="Q134" s="10">
        <f>N134*D134/1000</f>
        <v/>
      </c>
      <c r="R134" s="11">
        <f>K134*D134/1000</f>
        <v/>
      </c>
      <c r="S134" s="11">
        <f>L134*D134/1000</f>
        <v/>
      </c>
    </row>
    <row r="135" ht="46.5" customHeight="1">
      <c r="A135" s="25" t="inlineStr">
        <is>
          <t>LAJE</t>
        </is>
      </c>
      <c r="B135" s="25" t="inlineStr">
        <is>
          <t>L-2158 = L-3170 = L-4154</t>
        </is>
      </c>
      <c r="C135" s="25" t="inlineStr">
        <is>
          <t>L2158=L3170=L4154-FORMA E ARMAÇÃO-R00</t>
        </is>
      </c>
      <c r="D135" s="25" t="n">
        <v>3</v>
      </c>
      <c r="E135" s="25" t="inlineStr">
        <is>
          <t>16x113</t>
        </is>
      </c>
      <c r="F135" s="25" t="n">
        <v>141</v>
      </c>
      <c r="G135" s="25" t="n">
        <v>0.15</v>
      </c>
      <c r="H135" s="25">
        <f>G135*D135</f>
        <v/>
      </c>
      <c r="I135" s="25" t="n">
        <v>45</v>
      </c>
      <c r="J135" s="25" t="n">
        <v>31.5</v>
      </c>
      <c r="K135" s="37" t="n">
        <v>0</v>
      </c>
      <c r="L135" s="37" t="n">
        <v>3.11</v>
      </c>
      <c r="M135" s="37" t="n"/>
      <c r="N135" s="10">
        <f>G135*2400+K135+L135+M135</f>
        <v/>
      </c>
      <c r="O135" s="10">
        <f>(K135+M135)/G135</f>
        <v/>
      </c>
      <c r="P135" s="10">
        <f>L135/G135</f>
        <v/>
      </c>
      <c r="Q135" s="10">
        <f>N135*D135/1000</f>
        <v/>
      </c>
      <c r="R135" s="11">
        <f>K135*D135/1000</f>
        <v/>
      </c>
      <c r="S135" s="11">
        <f>L135*D135/1000</f>
        <v/>
      </c>
    </row>
    <row r="136" ht="46.5" customHeight="1">
      <c r="A136" s="25" t="inlineStr">
        <is>
          <t>LAJE</t>
        </is>
      </c>
      <c r="B136" s="25" t="inlineStr">
        <is>
          <t>L-2159 = L-3169 = L-4153</t>
        </is>
      </c>
      <c r="C136" s="25" t="inlineStr">
        <is>
          <t>L2159=L3169=L4153-FORMA E ARMAÇÃO-R00</t>
        </is>
      </c>
      <c r="D136" s="25" t="n">
        <v>6</v>
      </c>
      <c r="E136" s="25" t="inlineStr">
        <is>
          <t>16x66</t>
        </is>
      </c>
      <c r="F136" s="25" t="n">
        <v>141</v>
      </c>
      <c r="G136" s="25" t="n">
        <v>0.09</v>
      </c>
      <c r="H136" s="25">
        <f>G136*D136</f>
        <v/>
      </c>
      <c r="I136" s="25" t="n">
        <v>45</v>
      </c>
      <c r="J136" s="25" t="n">
        <v>31.5</v>
      </c>
      <c r="K136" s="37" t="n">
        <v>0</v>
      </c>
      <c r="L136" s="37" t="n">
        <v>3.11</v>
      </c>
      <c r="M136" s="37" t="n"/>
      <c r="N136" s="10">
        <f>G136*2400+K136+L136+M136</f>
        <v/>
      </c>
      <c r="O136" s="10">
        <f>(K136+M136)/G136</f>
        <v/>
      </c>
      <c r="P136" s="10">
        <f>L136/G136</f>
        <v/>
      </c>
      <c r="Q136" s="10">
        <f>N136*D136/1000</f>
        <v/>
      </c>
      <c r="R136" s="11">
        <f>K136*D136/1000</f>
        <v/>
      </c>
      <c r="S136" s="11">
        <f>L136*D136/1000</f>
        <v/>
      </c>
    </row>
    <row r="137" ht="46.5" customHeight="1">
      <c r="A137" s="25" t="inlineStr">
        <is>
          <t>LAJE</t>
        </is>
      </c>
      <c r="B137" s="25" t="inlineStr">
        <is>
          <t>L-2160 = L-3168 = L-4152</t>
        </is>
      </c>
      <c r="C137" s="25" t="inlineStr">
        <is>
          <t>L2160=L3168=L4152-FORMA E ARMAÇÃO-R00</t>
        </is>
      </c>
      <c r="D137" s="25" t="n">
        <v>3</v>
      </c>
      <c r="E137" s="25" t="inlineStr">
        <is>
          <t>16x113</t>
        </is>
      </c>
      <c r="F137" s="25" t="n">
        <v>141</v>
      </c>
      <c r="G137" s="25" t="n">
        <v>0.16</v>
      </c>
      <c r="H137" s="25">
        <f>G137*D137</f>
        <v/>
      </c>
      <c r="I137" s="25" t="n">
        <v>45</v>
      </c>
      <c r="J137" s="25" t="n">
        <v>31.5</v>
      </c>
      <c r="K137" s="37" t="n">
        <v>0</v>
      </c>
      <c r="L137" s="37" t="n">
        <v>3.11</v>
      </c>
      <c r="M137" s="37" t="n"/>
      <c r="N137" s="10">
        <f>G137*2400+K137+L137+M137</f>
        <v/>
      </c>
      <c r="O137" s="10">
        <f>(K137+M137)/G137</f>
        <v/>
      </c>
      <c r="P137" s="10">
        <f>L137/G137</f>
        <v/>
      </c>
      <c r="Q137" s="10">
        <f>N137*D137/1000</f>
        <v/>
      </c>
      <c r="R137" s="11">
        <f>K137*D137/1000</f>
        <v/>
      </c>
      <c r="S137" s="11">
        <f>L137*D137/1000</f>
        <v/>
      </c>
    </row>
    <row r="138" ht="46.5" customHeight="1">
      <c r="A138" s="25" t="inlineStr">
        <is>
          <t>LAJE</t>
        </is>
      </c>
      <c r="B138" s="25" t="inlineStr">
        <is>
          <t>L-2162 = L-3177 = L-4083</t>
        </is>
      </c>
      <c r="C138" s="25" t="inlineStr">
        <is>
          <t>L2162=L3177=L4083-FORMA E ARMAÇÃO-R00</t>
        </is>
      </c>
      <c r="D138" s="25" t="n">
        <v>3</v>
      </c>
      <c r="E138" s="25" t="inlineStr">
        <is>
          <t>16x95</t>
        </is>
      </c>
      <c r="F138" s="25" t="n">
        <v>860</v>
      </c>
      <c r="G138" s="25" t="n">
        <v>0.8</v>
      </c>
      <c r="H138" s="25">
        <f>G138*D138</f>
        <v/>
      </c>
      <c r="I138" s="25" t="n">
        <v>45</v>
      </c>
      <c r="J138" s="25" t="n">
        <v>31.5</v>
      </c>
      <c r="K138" s="37" t="n">
        <v>0</v>
      </c>
      <c r="L138" s="37" t="n">
        <v>40.25</v>
      </c>
      <c r="M138" s="37" t="n"/>
      <c r="N138" s="10">
        <f>G138*2400+K138+L138+M138</f>
        <v/>
      </c>
      <c r="O138" s="10">
        <f>(K138+M138)/G138</f>
        <v/>
      </c>
      <c r="P138" s="10">
        <f>L138/G138</f>
        <v/>
      </c>
      <c r="Q138" s="10">
        <f>N138*D138/1000</f>
        <v/>
      </c>
      <c r="R138" s="11">
        <f>K138*D138/1000</f>
        <v/>
      </c>
      <c r="S138" s="11">
        <f>L138*D138/1000</f>
        <v/>
      </c>
    </row>
    <row r="139" ht="46.5" customHeight="1">
      <c r="A139" s="25" t="inlineStr">
        <is>
          <t>LAJE</t>
        </is>
      </c>
      <c r="B139" s="25" t="inlineStr">
        <is>
          <t>L-3002 = L-4002</t>
        </is>
      </c>
      <c r="C139" s="25" t="inlineStr">
        <is>
          <t>L3002=L4002-FORMA E ARMAÇÃO-R00</t>
        </is>
      </c>
      <c r="D139" s="25" t="n">
        <v>2</v>
      </c>
      <c r="E139" s="25" t="inlineStr">
        <is>
          <t>16x125</t>
        </is>
      </c>
      <c r="F139" s="25" t="n">
        <v>439</v>
      </c>
      <c r="G139" s="25" t="n">
        <v>0.54</v>
      </c>
      <c r="H139" s="25">
        <f>G139*D139</f>
        <v/>
      </c>
      <c r="I139" s="25" t="n">
        <v>45</v>
      </c>
      <c r="J139" s="25" t="n">
        <v>31.5</v>
      </c>
      <c r="K139" s="37" t="n">
        <v>0</v>
      </c>
      <c r="L139" s="37" t="n">
        <v>9.68</v>
      </c>
      <c r="M139" s="37" t="n"/>
      <c r="N139" s="10">
        <f>G139*2400+K139+L139+M139</f>
        <v/>
      </c>
      <c r="O139" s="10">
        <f>(K139+M139)/G139</f>
        <v/>
      </c>
      <c r="P139" s="10">
        <f>L139/G139</f>
        <v/>
      </c>
      <c r="Q139" s="10">
        <f>N139*D139/1000</f>
        <v/>
      </c>
      <c r="R139" s="11">
        <f>K139*D139/1000</f>
        <v/>
      </c>
      <c r="S139" s="11">
        <f>L139*D139/1000</f>
        <v/>
      </c>
    </row>
    <row r="140" ht="46.5" customHeight="1">
      <c r="A140" s="25" t="inlineStr">
        <is>
          <t>LAJE</t>
        </is>
      </c>
      <c r="B140" s="25" t="inlineStr">
        <is>
          <t>L-3003 = L-4003</t>
        </is>
      </c>
      <c r="C140" s="25" t="inlineStr">
        <is>
          <t>L3003=L4003-FORMA E ARMAÇÃO-R00</t>
        </is>
      </c>
      <c r="D140" s="25" t="n">
        <v>2</v>
      </c>
      <c r="E140" s="25" t="inlineStr">
        <is>
          <t>16x125</t>
        </is>
      </c>
      <c r="F140" s="25" t="n">
        <v>439</v>
      </c>
      <c r="G140" s="25" t="n">
        <v>0.54</v>
      </c>
      <c r="H140" s="25">
        <f>G140*D140</f>
        <v/>
      </c>
      <c r="I140" s="25" t="n">
        <v>45</v>
      </c>
      <c r="J140" s="25" t="n">
        <v>31.5</v>
      </c>
      <c r="K140" s="37" t="n">
        <v>0</v>
      </c>
      <c r="L140" s="37" t="n">
        <v>9.68</v>
      </c>
      <c r="M140" s="37" t="n"/>
      <c r="N140" s="10">
        <f>G140*2400+K140+L140+M140</f>
        <v/>
      </c>
      <c r="O140" s="10">
        <f>(K140+M140)/G140</f>
        <v/>
      </c>
      <c r="P140" s="10">
        <f>L140/G140</f>
        <v/>
      </c>
      <c r="Q140" s="10">
        <f>N140*D140/1000</f>
        <v/>
      </c>
      <c r="R140" s="11">
        <f>K140*D140/1000</f>
        <v/>
      </c>
      <c r="S140" s="11">
        <f>L140*D140/1000</f>
        <v/>
      </c>
    </row>
    <row r="141" ht="46.5" customHeight="1">
      <c r="A141" s="25" t="inlineStr">
        <is>
          <t>LAJE</t>
        </is>
      </c>
      <c r="B141" s="25" t="inlineStr">
        <is>
          <t>L-3004 = L-4004</t>
        </is>
      </c>
      <c r="C141" s="25" t="inlineStr">
        <is>
          <t>L3004=L4004-FORMA E ARMAÇÃO-R00</t>
        </is>
      </c>
      <c r="D141" s="25" t="n">
        <v>2</v>
      </c>
      <c r="E141" s="25" t="inlineStr">
        <is>
          <t>16x125</t>
        </is>
      </c>
      <c r="F141" s="25" t="n">
        <v>439</v>
      </c>
      <c r="G141" s="25" t="n">
        <v>0.54</v>
      </c>
      <c r="H141" s="25">
        <f>G141*D141</f>
        <v/>
      </c>
      <c r="I141" s="25" t="n">
        <v>45</v>
      </c>
      <c r="J141" s="25" t="n">
        <v>31.5</v>
      </c>
      <c r="K141" s="37" t="n">
        <v>0</v>
      </c>
      <c r="L141" s="37" t="n">
        <v>9.68</v>
      </c>
      <c r="M141" s="37" t="n"/>
      <c r="N141" s="10">
        <f>G141*2400+K141+L141+M141</f>
        <v/>
      </c>
      <c r="O141" s="10">
        <f>(K141+M141)/G141</f>
        <v/>
      </c>
      <c r="P141" s="10">
        <f>L141/G141</f>
        <v/>
      </c>
      <c r="Q141" s="10">
        <f>N141*D141/1000</f>
        <v/>
      </c>
      <c r="R141" s="11">
        <f>K141*D141/1000</f>
        <v/>
      </c>
      <c r="S141" s="11">
        <f>L141*D141/1000</f>
        <v/>
      </c>
    </row>
    <row r="142" ht="46.5" customHeight="1">
      <c r="A142" s="25" t="inlineStr">
        <is>
          <t>LAJE</t>
        </is>
      </c>
      <c r="B142" s="25" t="inlineStr">
        <is>
          <t>L-3005 = L-4005</t>
        </is>
      </c>
      <c r="C142" s="25" t="inlineStr">
        <is>
          <t>L3005=L4005-FORMA E ARMAÇÃO-R00</t>
        </is>
      </c>
      <c r="D142" s="25" t="n">
        <v>2</v>
      </c>
      <c r="E142" s="25" t="inlineStr">
        <is>
          <t>16x125</t>
        </is>
      </c>
      <c r="F142" s="25" t="n">
        <v>439</v>
      </c>
      <c r="G142" s="25" t="n">
        <v>0.54</v>
      </c>
      <c r="H142" s="25">
        <f>G142*D142</f>
        <v/>
      </c>
      <c r="I142" s="25" t="n">
        <v>45</v>
      </c>
      <c r="J142" s="25" t="n">
        <v>31.5</v>
      </c>
      <c r="K142" s="37" t="n">
        <v>0</v>
      </c>
      <c r="L142" s="37" t="n">
        <v>9.68</v>
      </c>
      <c r="M142" s="37" t="n"/>
      <c r="N142" s="10">
        <f>G142*2400+K142+L142+M142</f>
        <v/>
      </c>
      <c r="O142" s="10">
        <f>(K142+M142)/G142</f>
        <v/>
      </c>
      <c r="P142" s="10">
        <f>L142/G142</f>
        <v/>
      </c>
      <c r="Q142" s="10">
        <f>N142*D142/1000</f>
        <v/>
      </c>
      <c r="R142" s="11">
        <f>K142*D142/1000</f>
        <v/>
      </c>
      <c r="S142" s="11">
        <f>L142*D142/1000</f>
        <v/>
      </c>
    </row>
    <row r="143" ht="46.5" customHeight="1">
      <c r="A143" s="25" t="inlineStr">
        <is>
          <t>LAJE</t>
        </is>
      </c>
      <c r="B143" s="25" t="inlineStr">
        <is>
          <t>L-3015 = L-4015</t>
        </is>
      </c>
      <c r="C143" s="25" t="inlineStr">
        <is>
          <t>L3015=L4015-FORMA E ARMAÇÃO-R00</t>
        </is>
      </c>
      <c r="D143" s="25" t="n">
        <v>24</v>
      </c>
      <c r="E143" s="25" t="inlineStr">
        <is>
          <t>16x125</t>
        </is>
      </c>
      <c r="F143" s="25" t="n">
        <v>573.5</v>
      </c>
      <c r="G143" s="25" t="n">
        <v>0.71</v>
      </c>
      <c r="H143" s="25">
        <f>G143*D143</f>
        <v/>
      </c>
      <c r="I143" s="25" t="n">
        <v>45</v>
      </c>
      <c r="J143" s="25" t="n">
        <v>31.5</v>
      </c>
      <c r="K143" s="37" t="n">
        <v>0</v>
      </c>
      <c r="L143" s="37" t="n">
        <v>12.65</v>
      </c>
      <c r="M143" s="37" t="n"/>
      <c r="N143" s="10">
        <f>G143*2400+K143+L143+M143</f>
        <v/>
      </c>
      <c r="O143" s="10">
        <f>(K143+M143)/G143</f>
        <v/>
      </c>
      <c r="P143" s="10">
        <f>L143/G143</f>
        <v/>
      </c>
      <c r="Q143" s="10">
        <f>N143*D143/1000</f>
        <v/>
      </c>
      <c r="R143" s="11">
        <f>K143*D143/1000</f>
        <v/>
      </c>
      <c r="S143" s="11">
        <f>L143*D143/1000</f>
        <v/>
      </c>
    </row>
    <row r="144" ht="46.5" customHeight="1">
      <c r="A144" s="25" t="inlineStr">
        <is>
          <t>LAJE</t>
        </is>
      </c>
      <c r="B144" s="25" t="inlineStr">
        <is>
          <t>L-3015A = L-4015A</t>
        </is>
      </c>
      <c r="C144" s="25" t="inlineStr">
        <is>
          <t>L3015A=L4015A-FORMA E ARMAÇÃO-R00</t>
        </is>
      </c>
      <c r="D144" s="25" t="n">
        <v>14</v>
      </c>
      <c r="E144" s="25" t="inlineStr">
        <is>
          <t>16x125</t>
        </is>
      </c>
      <c r="F144" s="25" t="n">
        <v>588.5</v>
      </c>
      <c r="G144" s="25" t="n">
        <v>0.73</v>
      </c>
      <c r="H144" s="25">
        <f>G144*D144</f>
        <v/>
      </c>
      <c r="I144" s="25" t="n">
        <v>45</v>
      </c>
      <c r="J144" s="25" t="n">
        <v>31.5</v>
      </c>
      <c r="K144" s="37" t="n">
        <v>0</v>
      </c>
      <c r="L144" s="37" t="n">
        <v>12.98</v>
      </c>
      <c r="M144" s="37" t="n"/>
      <c r="N144" s="10">
        <f>G144*2400+K144+L144+M144</f>
        <v/>
      </c>
      <c r="O144" s="10">
        <f>(K144+M144)/G144</f>
        <v/>
      </c>
      <c r="P144" s="10">
        <f>L144/G144</f>
        <v/>
      </c>
      <c r="Q144" s="10">
        <f>N144*D144/1000</f>
        <v/>
      </c>
      <c r="R144" s="11">
        <f>K144*D144/1000</f>
        <v/>
      </c>
      <c r="S144" s="11">
        <f>L144*D144/1000</f>
        <v/>
      </c>
    </row>
    <row r="145" ht="46.5" customHeight="1">
      <c r="A145" s="25" t="inlineStr">
        <is>
          <t>LAJE</t>
        </is>
      </c>
      <c r="B145" s="25" t="inlineStr">
        <is>
          <t>L-3016 = L-4016</t>
        </is>
      </c>
      <c r="C145" s="25" t="inlineStr">
        <is>
          <t>L3016=L4016-FORMA E ARMAÇÃO-R00</t>
        </is>
      </c>
      <c r="D145" s="25" t="n">
        <v>2</v>
      </c>
      <c r="E145" s="25" t="inlineStr">
        <is>
          <t>16x67</t>
        </is>
      </c>
      <c r="F145" s="25" t="n">
        <v>573.5</v>
      </c>
      <c r="G145" s="25" t="n">
        <v>0.38</v>
      </c>
      <c r="H145" s="25">
        <f>G145*D145</f>
        <v/>
      </c>
      <c r="I145" s="25" t="n">
        <v>45</v>
      </c>
      <c r="J145" s="25" t="n">
        <v>31.5</v>
      </c>
      <c r="K145" s="37" t="n">
        <v>0</v>
      </c>
      <c r="L145" s="37" t="n">
        <v>12.65</v>
      </c>
      <c r="M145" s="37" t="n"/>
      <c r="N145" s="10">
        <f>G145*2400+K145+L145+M145</f>
        <v/>
      </c>
      <c r="O145" s="10">
        <f>(K145+M145)/G145</f>
        <v/>
      </c>
      <c r="P145" s="10">
        <f>L145/G145</f>
        <v/>
      </c>
      <c r="Q145" s="10">
        <f>N145*D145/1000</f>
        <v/>
      </c>
      <c r="R145" s="11">
        <f>K145*D145/1000</f>
        <v/>
      </c>
      <c r="S145" s="11">
        <f>L145*D145/1000</f>
        <v/>
      </c>
    </row>
    <row r="146" ht="46.5" customHeight="1">
      <c r="A146" s="25" t="inlineStr">
        <is>
          <t>LAJE</t>
        </is>
      </c>
      <c r="B146" s="25" t="inlineStr">
        <is>
          <t>L-3019 = L-4019</t>
        </is>
      </c>
      <c r="C146" s="25" t="inlineStr">
        <is>
          <t>L3019=L4019-FORMA E ARMAÇÃO-R00</t>
        </is>
      </c>
      <c r="D146" s="25" t="n">
        <v>2</v>
      </c>
      <c r="E146" s="25" t="inlineStr">
        <is>
          <t>16x79,5</t>
        </is>
      </c>
      <c r="F146" s="25" t="n">
        <v>573.5</v>
      </c>
      <c r="G146" s="25" t="n">
        <v>0.45</v>
      </c>
      <c r="H146" s="25">
        <f>G146*D146</f>
        <v/>
      </c>
      <c r="I146" s="25" t="n">
        <v>45</v>
      </c>
      <c r="J146" s="25" t="n">
        <v>31.5</v>
      </c>
      <c r="K146" s="37" t="n">
        <v>0</v>
      </c>
      <c r="L146" s="37" t="n">
        <v>12.65</v>
      </c>
      <c r="M146" s="37" t="n"/>
      <c r="N146" s="10">
        <f>G146*2400+K146+L146+M146</f>
        <v/>
      </c>
      <c r="O146" s="10">
        <f>(K146+M146)/G146</f>
        <v/>
      </c>
      <c r="P146" s="10">
        <f>L146/G146</f>
        <v/>
      </c>
      <c r="Q146" s="10">
        <f>N146*D146/1000</f>
        <v/>
      </c>
      <c r="R146" s="11">
        <f>K146*D146/1000</f>
        <v/>
      </c>
      <c r="S146" s="11">
        <f>L146*D146/1000</f>
        <v/>
      </c>
    </row>
    <row r="147" ht="46.5" customHeight="1">
      <c r="A147" s="25" t="inlineStr">
        <is>
          <t>LAJE</t>
        </is>
      </c>
      <c r="B147" s="25" t="inlineStr">
        <is>
          <t>L-3020</t>
        </is>
      </c>
      <c r="C147" s="25" t="inlineStr">
        <is>
          <t>L3020-FORMA E ARMAÇÃO-R00</t>
        </is>
      </c>
      <c r="D147" s="25" t="n">
        <v>1</v>
      </c>
      <c r="E147" s="25" t="inlineStr">
        <is>
          <t>16x125</t>
        </is>
      </c>
      <c r="F147" s="25" t="n">
        <v>573.5</v>
      </c>
      <c r="G147" s="25" t="n">
        <v>0.71</v>
      </c>
      <c r="H147" s="25">
        <f>G147*D147</f>
        <v/>
      </c>
      <c r="I147" s="25" t="n">
        <v>45</v>
      </c>
      <c r="J147" s="25" t="n">
        <v>31.5</v>
      </c>
      <c r="K147" s="37" t="n">
        <v>0</v>
      </c>
      <c r="L147" s="37" t="n">
        <v>12.65</v>
      </c>
      <c r="M147" s="37" t="n"/>
      <c r="N147" s="10">
        <f>G147*2400+K147+L147+M147</f>
        <v/>
      </c>
      <c r="O147" s="10">
        <f>(K147+M147)/G147</f>
        <v/>
      </c>
      <c r="P147" s="10">
        <f>L147/G147</f>
        <v/>
      </c>
      <c r="Q147" s="10">
        <f>N147*D147/1000</f>
        <v/>
      </c>
      <c r="R147" s="11">
        <f>K147*D147/1000</f>
        <v/>
      </c>
      <c r="S147" s="11">
        <f>L147*D147/1000</f>
        <v/>
      </c>
    </row>
    <row r="148" ht="46.5" customHeight="1">
      <c r="A148" s="25" t="inlineStr">
        <is>
          <t>LAJE</t>
        </is>
      </c>
      <c r="B148" s="25" t="inlineStr">
        <is>
          <t>L-3077 = L-4077</t>
        </is>
      </c>
      <c r="C148" s="25" t="inlineStr">
        <is>
          <t>L3077=L4077-FORMA E ARMAÇÃO-R00</t>
        </is>
      </c>
      <c r="D148" s="25" t="n">
        <v>2</v>
      </c>
      <c r="E148" s="25" t="inlineStr">
        <is>
          <t>16x125</t>
        </is>
      </c>
      <c r="F148" s="25" t="n">
        <v>850</v>
      </c>
      <c r="G148" s="25" t="n">
        <v>1.04</v>
      </c>
      <c r="H148" s="25">
        <f>G148*D148</f>
        <v/>
      </c>
      <c r="I148" s="25" t="n">
        <v>45</v>
      </c>
      <c r="J148" s="25" t="n">
        <v>31.5</v>
      </c>
      <c r="K148" s="37" t="n">
        <v>0</v>
      </c>
      <c r="L148" s="37" t="n">
        <v>39.78</v>
      </c>
      <c r="M148" s="37" t="n"/>
      <c r="N148" s="10">
        <f>G148*2400+K148+L148+M148</f>
        <v/>
      </c>
      <c r="O148" s="10">
        <f>(K148+M148)/G148</f>
        <v/>
      </c>
      <c r="P148" s="10">
        <f>L148/G148</f>
        <v/>
      </c>
      <c r="Q148" s="10">
        <f>N148*D148/1000</f>
        <v/>
      </c>
      <c r="R148" s="11">
        <f>K148*D148/1000</f>
        <v/>
      </c>
      <c r="S148" s="11">
        <f>L148*D148/1000</f>
        <v/>
      </c>
    </row>
    <row r="149" ht="46.5" customHeight="1">
      <c r="A149" s="25" t="inlineStr">
        <is>
          <t>LAJE</t>
        </is>
      </c>
      <c r="B149" s="25" t="inlineStr">
        <is>
          <t>L-3078 = L-4078</t>
        </is>
      </c>
      <c r="C149" s="25" t="inlineStr">
        <is>
          <t>L3078=L4078-FORMA E ARMAÇÃO-R00</t>
        </is>
      </c>
      <c r="D149" s="25" t="n">
        <v>4</v>
      </c>
      <c r="E149" s="25" t="inlineStr">
        <is>
          <t>16x125</t>
        </is>
      </c>
      <c r="F149" s="25" t="n">
        <v>850</v>
      </c>
      <c r="G149" s="25" t="n">
        <v>1.05</v>
      </c>
      <c r="H149" s="25">
        <f>G149*D149</f>
        <v/>
      </c>
      <c r="I149" s="25" t="n">
        <v>45</v>
      </c>
      <c r="J149" s="25" t="n">
        <v>31.5</v>
      </c>
      <c r="K149" s="37" t="n">
        <v>0</v>
      </c>
      <c r="L149" s="37" t="n">
        <v>39.78</v>
      </c>
      <c r="M149" s="37" t="n"/>
      <c r="N149" s="10">
        <f>G149*2400+K149+L149+M149</f>
        <v/>
      </c>
      <c r="O149" s="10">
        <f>(K149+M149)/G149</f>
        <v/>
      </c>
      <c r="P149" s="10">
        <f>L149/G149</f>
        <v/>
      </c>
      <c r="Q149" s="10">
        <f>N149*D149/1000</f>
        <v/>
      </c>
      <c r="R149" s="11">
        <f>K149*D149/1000</f>
        <v/>
      </c>
      <c r="S149" s="11">
        <f>L149*D149/1000</f>
        <v/>
      </c>
    </row>
    <row r="150" ht="46.5" customHeight="1">
      <c r="A150" s="25" t="inlineStr">
        <is>
          <t>LAJE</t>
        </is>
      </c>
      <c r="B150" s="25" t="inlineStr">
        <is>
          <t>L-3079 = L-4079</t>
        </is>
      </c>
      <c r="C150" s="25" t="inlineStr">
        <is>
          <t>L3079=L4079-FORMA E ARMAÇÃO-R00</t>
        </is>
      </c>
      <c r="D150" s="25" t="n">
        <v>2</v>
      </c>
      <c r="E150" s="25" t="inlineStr">
        <is>
          <t>16x65</t>
        </is>
      </c>
      <c r="F150" s="25" t="n">
        <v>850</v>
      </c>
      <c r="G150" s="25" t="n">
        <v>0.54</v>
      </c>
      <c r="H150" s="25">
        <f>G150*D150</f>
        <v/>
      </c>
      <c r="I150" s="25" t="n">
        <v>45</v>
      </c>
      <c r="J150" s="25" t="n">
        <v>31.5</v>
      </c>
      <c r="K150" s="37" t="n">
        <v>0</v>
      </c>
      <c r="L150" s="37" t="n">
        <v>39.78</v>
      </c>
      <c r="M150" s="37" t="n"/>
      <c r="N150" s="10">
        <f>G150*2400+K150+L150+M150</f>
        <v/>
      </c>
      <c r="O150" s="10">
        <f>(K150+M150)/G150</f>
        <v/>
      </c>
      <c r="P150" s="10">
        <f>L150/G150</f>
        <v/>
      </c>
      <c r="Q150" s="10">
        <f>N150*D150/1000</f>
        <v/>
      </c>
      <c r="R150" s="11">
        <f>K150*D150/1000</f>
        <v/>
      </c>
      <c r="S150" s="11">
        <f>L150*D150/1000</f>
        <v/>
      </c>
    </row>
    <row r="151" ht="46.5" customHeight="1">
      <c r="A151" s="25" t="inlineStr">
        <is>
          <t>LAJE</t>
        </is>
      </c>
      <c r="B151" s="25" t="inlineStr">
        <is>
          <t>L-3080 = L-4080</t>
        </is>
      </c>
      <c r="C151" s="25" t="inlineStr">
        <is>
          <t>L3080=L4080-FORMA E ARMAÇÃO-R00</t>
        </is>
      </c>
      <c r="D151" s="25" t="n">
        <v>2</v>
      </c>
      <c r="E151" s="25" t="inlineStr">
        <is>
          <t>16x125</t>
        </is>
      </c>
      <c r="F151" s="25" t="n">
        <v>860</v>
      </c>
      <c r="G151" s="25" t="n">
        <v>1.05</v>
      </c>
      <c r="H151" s="25">
        <f>G151*D151</f>
        <v/>
      </c>
      <c r="I151" s="25" t="n">
        <v>45</v>
      </c>
      <c r="J151" s="25" t="n">
        <v>31.5</v>
      </c>
      <c r="K151" s="37" t="n">
        <v>0</v>
      </c>
      <c r="L151" s="37" t="n">
        <v>40.25</v>
      </c>
      <c r="M151" s="37" t="n"/>
      <c r="N151" s="10">
        <f>G151*2400+K151+L151+M151</f>
        <v/>
      </c>
      <c r="O151" s="10">
        <f>(K151+M151)/G151</f>
        <v/>
      </c>
      <c r="P151" s="10">
        <f>L151/G151</f>
        <v/>
      </c>
      <c r="Q151" s="10">
        <f>N151*D151/1000</f>
        <v/>
      </c>
      <c r="R151" s="11">
        <f>K151*D151/1000</f>
        <v/>
      </c>
      <c r="S151" s="11">
        <f>L151*D151/1000</f>
        <v/>
      </c>
    </row>
    <row r="152" ht="46.5" customHeight="1">
      <c r="A152" s="25" t="inlineStr">
        <is>
          <t>LAJE</t>
        </is>
      </c>
      <c r="B152" s="25" t="inlineStr">
        <is>
          <t>L-3081 = L-4081</t>
        </is>
      </c>
      <c r="C152" s="25" t="inlineStr">
        <is>
          <t>L3081=L4081-FORMA E ARMAÇÃO-R00</t>
        </is>
      </c>
      <c r="D152" s="25" t="n">
        <v>2</v>
      </c>
      <c r="E152" s="25" t="inlineStr">
        <is>
          <t>16x65</t>
        </is>
      </c>
      <c r="F152" s="25" t="n">
        <v>860</v>
      </c>
      <c r="G152" s="25" t="n">
        <v>0.54</v>
      </c>
      <c r="H152" s="25">
        <f>G152*D152</f>
        <v/>
      </c>
      <c r="I152" s="25" t="n">
        <v>45</v>
      </c>
      <c r="J152" s="25" t="n">
        <v>31.5</v>
      </c>
      <c r="K152" s="37" t="n">
        <v>0</v>
      </c>
      <c r="L152" s="37" t="n">
        <v>40.25</v>
      </c>
      <c r="M152" s="37" t="n"/>
      <c r="N152" s="10">
        <f>G152*2400+K152+L152+M152</f>
        <v/>
      </c>
      <c r="O152" s="10">
        <f>(K152+M152)/G152</f>
        <v/>
      </c>
      <c r="P152" s="10">
        <f>L152/G152</f>
        <v/>
      </c>
      <c r="Q152" s="10">
        <f>N152*D152/1000</f>
        <v/>
      </c>
      <c r="R152" s="11">
        <f>K152*D152/1000</f>
        <v/>
      </c>
      <c r="S152" s="11">
        <f>L152*D152/1000</f>
        <v/>
      </c>
    </row>
    <row r="153" ht="46.5" customHeight="1">
      <c r="A153" s="25" t="inlineStr">
        <is>
          <t>LAJE</t>
        </is>
      </c>
      <c r="B153" s="25" t="inlineStr">
        <is>
          <t>L-3100</t>
        </is>
      </c>
      <c r="C153" s="25" t="inlineStr">
        <is>
          <t>L3100-FORMA E ARMAÇÃO-R00</t>
        </is>
      </c>
      <c r="D153" s="25" t="n">
        <v>2</v>
      </c>
      <c r="E153" s="25" t="inlineStr">
        <is>
          <t>16x125</t>
        </is>
      </c>
      <c r="F153" s="25" t="n">
        <v>485</v>
      </c>
      <c r="G153" s="25" t="n">
        <v>0.6</v>
      </c>
      <c r="H153" s="25">
        <f>G153*D153</f>
        <v/>
      </c>
      <c r="I153" s="25" t="n">
        <v>45</v>
      </c>
      <c r="J153" s="25" t="n">
        <v>31.5</v>
      </c>
      <c r="K153" s="37" t="n">
        <v>0</v>
      </c>
      <c r="L153" s="37" t="n">
        <v>10.69</v>
      </c>
      <c r="M153" s="37" t="n"/>
      <c r="N153" s="10">
        <f>G153*2400+K153+L153+M153</f>
        <v/>
      </c>
      <c r="O153" s="10">
        <f>(K153+M153)/G153</f>
        <v/>
      </c>
      <c r="P153" s="10">
        <f>L153/G153</f>
        <v/>
      </c>
      <c r="Q153" s="10">
        <f>N153*D153/1000</f>
        <v/>
      </c>
      <c r="R153" s="11">
        <f>K153*D153/1000</f>
        <v/>
      </c>
      <c r="S153" s="11">
        <f>L153*D153/1000</f>
        <v/>
      </c>
    </row>
    <row r="154" ht="46.5" customHeight="1">
      <c r="A154" s="25" t="inlineStr">
        <is>
          <t>LAJE</t>
        </is>
      </c>
      <c r="B154" s="25" t="inlineStr">
        <is>
          <t>L-3101</t>
        </is>
      </c>
      <c r="C154" s="25" t="inlineStr">
        <is>
          <t>L3101-FORMA E ARMAÇÃO-R00</t>
        </is>
      </c>
      <c r="D154" s="25" t="n">
        <v>12</v>
      </c>
      <c r="E154" s="25" t="inlineStr">
        <is>
          <t>16x125</t>
        </is>
      </c>
      <c r="F154" s="25" t="n">
        <v>485</v>
      </c>
      <c r="G154" s="25" t="n">
        <v>0.6</v>
      </c>
      <c r="H154" s="25">
        <f>G154*D154</f>
        <v/>
      </c>
      <c r="I154" s="25" t="n">
        <v>45</v>
      </c>
      <c r="J154" s="25" t="n">
        <v>31.5</v>
      </c>
      <c r="K154" s="37" t="n">
        <v>0</v>
      </c>
      <c r="L154" s="37" t="n">
        <v>10.69</v>
      </c>
      <c r="M154" s="37" t="n"/>
      <c r="N154" s="10">
        <f>G154*2400+K154+L154+M154</f>
        <v/>
      </c>
      <c r="O154" s="10">
        <f>(K154+M154)/G154</f>
        <v/>
      </c>
      <c r="P154" s="10">
        <f>L154/G154</f>
        <v/>
      </c>
      <c r="Q154" s="10">
        <f>N154*D154/1000</f>
        <v/>
      </c>
      <c r="R154" s="11">
        <f>K154*D154/1000</f>
        <v/>
      </c>
      <c r="S154" s="11">
        <f>L154*D154/1000</f>
        <v/>
      </c>
    </row>
    <row r="155" ht="46.5" customHeight="1">
      <c r="A155" s="25" t="inlineStr">
        <is>
          <t>LAJE</t>
        </is>
      </c>
      <c r="B155" s="25" t="inlineStr">
        <is>
          <t>L-3102</t>
        </is>
      </c>
      <c r="C155" s="25" t="inlineStr">
        <is>
          <t>L3102-FORMA E ARMAÇÃO-R00</t>
        </is>
      </c>
      <c r="D155" s="25" t="n">
        <v>2</v>
      </c>
      <c r="E155" s="25" t="inlineStr">
        <is>
          <t>16x65</t>
        </is>
      </c>
      <c r="F155" s="25" t="n">
        <v>485</v>
      </c>
      <c r="G155" s="25" t="n">
        <v>0.31</v>
      </c>
      <c r="H155" s="25">
        <f>G155*D155</f>
        <v/>
      </c>
      <c r="I155" s="25" t="n">
        <v>45</v>
      </c>
      <c r="J155" s="25" t="n">
        <v>31.5</v>
      </c>
      <c r="K155" s="37" t="n">
        <v>0</v>
      </c>
      <c r="L155" s="37" t="n">
        <v>10.69</v>
      </c>
      <c r="M155" s="37" t="n"/>
      <c r="N155" s="10">
        <f>G155*2400+K155+L155+M155</f>
        <v/>
      </c>
      <c r="O155" s="10">
        <f>(K155+M155)/G155</f>
        <v/>
      </c>
      <c r="P155" s="10">
        <f>L155/G155</f>
        <v/>
      </c>
      <c r="Q155" s="10">
        <f>N155*D155/1000</f>
        <v/>
      </c>
      <c r="R155" s="11">
        <f>K155*D155/1000</f>
        <v/>
      </c>
      <c r="S155" s="11">
        <f>L155*D155/1000</f>
        <v/>
      </c>
    </row>
    <row r="156" ht="46.5" customHeight="1">
      <c r="A156" s="25" t="inlineStr">
        <is>
          <t>LAJE</t>
        </is>
      </c>
      <c r="B156" s="25" t="inlineStr">
        <is>
          <t>L-3103</t>
        </is>
      </c>
      <c r="C156" s="25" t="inlineStr">
        <is>
          <t>L3103-FORMA E ARMAÇÃO-R00</t>
        </is>
      </c>
      <c r="D156" s="25" t="n">
        <v>2</v>
      </c>
      <c r="E156" s="25" t="inlineStr">
        <is>
          <t>16x125</t>
        </is>
      </c>
      <c r="F156" s="25" t="n">
        <v>485</v>
      </c>
      <c r="G156" s="25" t="n">
        <v>0.6</v>
      </c>
      <c r="H156" s="25">
        <f>G156*D156</f>
        <v/>
      </c>
      <c r="I156" s="25" t="n">
        <v>45</v>
      </c>
      <c r="J156" s="25" t="n">
        <v>31.5</v>
      </c>
      <c r="K156" s="37" t="n">
        <v>0</v>
      </c>
      <c r="L156" s="37" t="n">
        <v>10.69</v>
      </c>
      <c r="M156" s="37" t="n"/>
      <c r="N156" s="10">
        <f>G156*2400+K156+L156+M156</f>
        <v/>
      </c>
      <c r="O156" s="10">
        <f>(K156+M156)/G156</f>
        <v/>
      </c>
      <c r="P156" s="10">
        <f>L156/G156</f>
        <v/>
      </c>
      <c r="Q156" s="10">
        <f>N156*D156/1000</f>
        <v/>
      </c>
      <c r="R156" s="11">
        <f>K156*D156/1000</f>
        <v/>
      </c>
      <c r="S156" s="11">
        <f>L156*D156/1000</f>
        <v/>
      </c>
    </row>
    <row r="157" ht="46.5" customHeight="1">
      <c r="A157" s="25" t="inlineStr">
        <is>
          <t>LAJE</t>
        </is>
      </c>
      <c r="B157" s="25" t="inlineStr">
        <is>
          <t>L-3104</t>
        </is>
      </c>
      <c r="C157" s="25" t="inlineStr">
        <is>
          <t>L3104-FORMA E ARMAÇÃO-R00</t>
        </is>
      </c>
      <c r="D157" s="25" t="n">
        <v>2</v>
      </c>
      <c r="E157" s="25" t="inlineStr">
        <is>
          <t>16x66</t>
        </is>
      </c>
      <c r="F157" s="25" t="n">
        <v>485</v>
      </c>
      <c r="G157" s="25" t="n">
        <v>0.32</v>
      </c>
      <c r="H157" s="25">
        <f>G157*D157</f>
        <v/>
      </c>
      <c r="I157" s="25" t="n">
        <v>45</v>
      </c>
      <c r="J157" s="25" t="n">
        <v>31.5</v>
      </c>
      <c r="K157" s="37" t="n">
        <v>0</v>
      </c>
      <c r="L157" s="37" t="n">
        <v>10.69</v>
      </c>
      <c r="M157" s="37" t="n"/>
      <c r="N157" s="10">
        <f>G157*2400+K157+L157+M157</f>
        <v/>
      </c>
      <c r="O157" s="10">
        <f>(K157+M157)/G157</f>
        <v/>
      </c>
      <c r="P157" s="10">
        <f>L157/G157</f>
        <v/>
      </c>
      <c r="Q157" s="10">
        <f>N157*D157/1000</f>
        <v/>
      </c>
      <c r="R157" s="11">
        <f>K157*D157/1000</f>
        <v/>
      </c>
      <c r="S157" s="11">
        <f>L157*D157/1000</f>
        <v/>
      </c>
    </row>
    <row r="158" ht="46.5" customHeight="1">
      <c r="A158" s="25" t="inlineStr">
        <is>
          <t>LAJE</t>
        </is>
      </c>
      <c r="B158" s="25" t="inlineStr">
        <is>
          <t>L-3105</t>
        </is>
      </c>
      <c r="C158" s="25" t="inlineStr">
        <is>
          <t>L3105-FORMA E ARMAÇÃO-R00</t>
        </is>
      </c>
      <c r="D158" s="25" t="n">
        <v>2</v>
      </c>
      <c r="E158" s="25" t="inlineStr">
        <is>
          <t>16x125</t>
        </is>
      </c>
      <c r="F158" s="25" t="n">
        <v>485</v>
      </c>
      <c r="G158" s="25" t="n">
        <v>0.6</v>
      </c>
      <c r="H158" s="25">
        <f>G158*D158</f>
        <v/>
      </c>
      <c r="I158" s="25" t="n">
        <v>45</v>
      </c>
      <c r="J158" s="25" t="n">
        <v>31.5</v>
      </c>
      <c r="K158" s="37" t="n">
        <v>0</v>
      </c>
      <c r="L158" s="37" t="n">
        <v>10.69</v>
      </c>
      <c r="M158" s="37" t="n"/>
      <c r="N158" s="10">
        <f>G158*2400+K158+L158+M158</f>
        <v/>
      </c>
      <c r="O158" s="10">
        <f>(K158+M158)/G158</f>
        <v/>
      </c>
      <c r="P158" s="10">
        <f>L158/G158</f>
        <v/>
      </c>
      <c r="Q158" s="10">
        <f>N158*D158/1000</f>
        <v/>
      </c>
      <c r="R158" s="11">
        <f>K158*D158/1000</f>
        <v/>
      </c>
      <c r="S158" s="11">
        <f>L158*D158/1000</f>
        <v/>
      </c>
    </row>
    <row r="159" ht="46.5" customHeight="1">
      <c r="A159" s="25" t="inlineStr">
        <is>
          <t>LAJE</t>
        </is>
      </c>
      <c r="B159" s="25" t="inlineStr">
        <is>
          <t>L-3112</t>
        </is>
      </c>
      <c r="C159" s="25" t="inlineStr">
        <is>
          <t>L3112-FORMA E ARMAÇÃO-R00</t>
        </is>
      </c>
      <c r="D159" s="25" t="n">
        <v>1</v>
      </c>
      <c r="E159" s="25" t="inlineStr">
        <is>
          <t>26x125</t>
        </is>
      </c>
      <c r="F159" s="25" t="n">
        <v>1005</v>
      </c>
      <c r="G159" s="25" t="n">
        <v>1.9</v>
      </c>
      <c r="H159" s="25">
        <f>G159*D159</f>
        <v/>
      </c>
      <c r="I159" s="25" t="n">
        <v>45</v>
      </c>
      <c r="J159" s="25" t="n">
        <v>31.5</v>
      </c>
      <c r="K159" s="37" t="n">
        <v>0</v>
      </c>
      <c r="L159" s="37" t="n">
        <v>79.59999999999999</v>
      </c>
      <c r="M159" s="37" t="n"/>
      <c r="N159" s="10">
        <f>G159*2400+K159+L159+M159</f>
        <v/>
      </c>
      <c r="O159" s="10">
        <f>(K159+M159)/G159</f>
        <v/>
      </c>
      <c r="P159" s="10">
        <f>L159/G159</f>
        <v/>
      </c>
      <c r="Q159" s="10">
        <f>N159*D159/1000</f>
        <v/>
      </c>
      <c r="R159" s="11">
        <f>K159*D159/1000</f>
        <v/>
      </c>
      <c r="S159" s="11">
        <f>L159*D159/1000</f>
        <v/>
      </c>
    </row>
    <row r="160" ht="46.5" customHeight="1">
      <c r="A160" s="25" t="inlineStr">
        <is>
          <t>LAJE</t>
        </is>
      </c>
      <c r="B160" s="25" t="inlineStr">
        <is>
          <t>L-3113</t>
        </is>
      </c>
      <c r="C160" s="25" t="inlineStr">
        <is>
          <t>L3113-FORMA E ARMAÇÃO-R00</t>
        </is>
      </c>
      <c r="D160" s="25" t="n">
        <v>8</v>
      </c>
      <c r="E160" s="25" t="inlineStr">
        <is>
          <t>26x125</t>
        </is>
      </c>
      <c r="F160" s="25" t="n">
        <v>1005</v>
      </c>
      <c r="G160" s="25" t="n">
        <v>1.9</v>
      </c>
      <c r="H160" s="25">
        <f>G160*D160</f>
        <v/>
      </c>
      <c r="I160" s="25" t="n">
        <v>45</v>
      </c>
      <c r="J160" s="25" t="n">
        <v>31.5</v>
      </c>
      <c r="K160" s="37" t="n">
        <v>0</v>
      </c>
      <c r="L160" s="37" t="n">
        <v>79.59999999999999</v>
      </c>
      <c r="M160" s="37" t="n"/>
      <c r="N160" s="10">
        <f>G160*2400+K160+L160+M160</f>
        <v/>
      </c>
      <c r="O160" s="10">
        <f>(K160+M160)/G160</f>
        <v/>
      </c>
      <c r="P160" s="10">
        <f>L160/G160</f>
        <v/>
      </c>
      <c r="Q160" s="10">
        <f>N160*D160/1000</f>
        <v/>
      </c>
      <c r="R160" s="11">
        <f>K160*D160/1000</f>
        <v/>
      </c>
      <c r="S160" s="11">
        <f>L160*D160/1000</f>
        <v/>
      </c>
    </row>
    <row r="161" ht="46.5" customHeight="1">
      <c r="A161" s="25" t="inlineStr">
        <is>
          <t>LAJE</t>
        </is>
      </c>
      <c r="B161" s="25" t="inlineStr">
        <is>
          <t>L-3114</t>
        </is>
      </c>
      <c r="C161" s="25" t="inlineStr">
        <is>
          <t>L3114-FORMA E ARMAÇÃO-R00</t>
        </is>
      </c>
      <c r="D161" s="25" t="n">
        <v>1</v>
      </c>
      <c r="E161" s="25" t="inlineStr">
        <is>
          <t>26x125</t>
        </is>
      </c>
      <c r="F161" s="25" t="n">
        <v>1005</v>
      </c>
      <c r="G161" s="25" t="n">
        <v>1.9</v>
      </c>
      <c r="H161" s="25">
        <f>G161*D161</f>
        <v/>
      </c>
      <c r="I161" s="25" t="n">
        <v>45</v>
      </c>
      <c r="J161" s="25" t="n">
        <v>31.5</v>
      </c>
      <c r="K161" s="37" t="n">
        <v>0</v>
      </c>
      <c r="L161" s="37" t="n">
        <v>79.59999999999999</v>
      </c>
      <c r="M161" s="37" t="n"/>
      <c r="N161" s="10">
        <f>G161*2400+K161+L161+M161</f>
        <v/>
      </c>
      <c r="O161" s="10">
        <f>(K161+M161)/G161</f>
        <v/>
      </c>
      <c r="P161" s="10">
        <f>L161/G161</f>
        <v/>
      </c>
      <c r="Q161" s="10">
        <f>N161*D161/1000</f>
        <v/>
      </c>
      <c r="R161" s="11">
        <f>K161*D161/1000</f>
        <v/>
      </c>
      <c r="S161" s="11">
        <f>L161*D161/1000</f>
        <v/>
      </c>
    </row>
    <row r="162" ht="46.5" customHeight="1">
      <c r="A162" s="25" t="inlineStr">
        <is>
          <t>LAJE</t>
        </is>
      </c>
      <c r="B162" s="25" t="inlineStr">
        <is>
          <t>L-3115</t>
        </is>
      </c>
      <c r="C162" s="25" t="inlineStr">
        <is>
          <t>L3115-FORMA E ARMAÇÃO-R00</t>
        </is>
      </c>
      <c r="D162" s="25" t="n">
        <v>1</v>
      </c>
      <c r="E162" s="25" t="inlineStr">
        <is>
          <t>26x125</t>
        </is>
      </c>
      <c r="F162" s="25" t="n">
        <v>1005</v>
      </c>
      <c r="G162" s="25" t="n">
        <v>1.9</v>
      </c>
      <c r="H162" s="25">
        <f>G162*D162</f>
        <v/>
      </c>
      <c r="I162" s="25" t="n">
        <v>45</v>
      </c>
      <c r="J162" s="25" t="n">
        <v>31.5</v>
      </c>
      <c r="K162" s="37" t="n">
        <v>0</v>
      </c>
      <c r="L162" s="37" t="n">
        <v>79.59999999999999</v>
      </c>
      <c r="M162" s="37" t="n"/>
      <c r="N162" s="10">
        <f>G162*2400+K162+L162+M162</f>
        <v/>
      </c>
      <c r="O162" s="10">
        <f>(K162+M162)/G162</f>
        <v/>
      </c>
      <c r="P162" s="10">
        <f>L162/G162</f>
        <v/>
      </c>
      <c r="Q162" s="10">
        <f>N162*D162/1000</f>
        <v/>
      </c>
      <c r="R162" s="11">
        <f>K162*D162/1000</f>
        <v/>
      </c>
      <c r="S162" s="11">
        <f>L162*D162/1000</f>
        <v/>
      </c>
    </row>
    <row r="163" ht="46.5" customHeight="1">
      <c r="A163" s="25" t="inlineStr">
        <is>
          <t>LAJE</t>
        </is>
      </c>
      <c r="B163" s="25" t="inlineStr">
        <is>
          <t>L-3121</t>
        </is>
      </c>
      <c r="C163" s="25" t="inlineStr">
        <is>
          <t>L3121-FORMA E ARMAÇÃO-R00</t>
        </is>
      </c>
      <c r="D163" s="25" t="n">
        <v>1</v>
      </c>
      <c r="E163" s="25" t="inlineStr">
        <is>
          <t>26x125</t>
        </is>
      </c>
      <c r="F163" s="25" t="n">
        <v>1031</v>
      </c>
      <c r="G163" s="25" t="n">
        <v>1.93</v>
      </c>
      <c r="H163" s="25">
        <f>G163*D163</f>
        <v/>
      </c>
      <c r="I163" s="25" t="n">
        <v>45</v>
      </c>
      <c r="J163" s="25" t="n">
        <v>31.5</v>
      </c>
      <c r="K163" s="37" t="n">
        <v>0</v>
      </c>
      <c r="L163" s="37" t="n">
        <v>81.66</v>
      </c>
      <c r="M163" s="37" t="n"/>
      <c r="N163" s="10">
        <f>G163*2400+K163+L163+M163</f>
        <v/>
      </c>
      <c r="O163" s="10">
        <f>(K163+M163)/G163</f>
        <v/>
      </c>
      <c r="P163" s="10">
        <f>L163/G163</f>
        <v/>
      </c>
      <c r="Q163" s="10">
        <f>N163*D163/1000</f>
        <v/>
      </c>
      <c r="R163" s="11">
        <f>K163*D163/1000</f>
        <v/>
      </c>
      <c r="S163" s="11">
        <f>L163*D163/1000</f>
        <v/>
      </c>
    </row>
    <row r="164" ht="46.5" customHeight="1">
      <c r="A164" s="25" t="inlineStr">
        <is>
          <t>LAJE</t>
        </is>
      </c>
      <c r="B164" s="25" t="inlineStr">
        <is>
          <t>L-3122</t>
        </is>
      </c>
      <c r="C164" s="25" t="inlineStr">
        <is>
          <t>L3122-FORMA E ARMAÇÃO-R01</t>
        </is>
      </c>
      <c r="D164" s="25" t="n">
        <v>19</v>
      </c>
      <c r="E164" s="25" t="inlineStr">
        <is>
          <t>26x125</t>
        </is>
      </c>
      <c r="F164" s="25" t="n">
        <v>1031</v>
      </c>
      <c r="G164" s="25" t="n">
        <v>1.95</v>
      </c>
      <c r="H164" s="25">
        <f>G164*D164</f>
        <v/>
      </c>
      <c r="I164" s="25" t="n">
        <v>45</v>
      </c>
      <c r="J164" s="25" t="n">
        <v>31.5</v>
      </c>
      <c r="K164" s="37" t="n">
        <v>0</v>
      </c>
      <c r="L164" s="37" t="n">
        <v>81.66</v>
      </c>
      <c r="M164" s="37" t="n"/>
      <c r="N164" s="10">
        <f>G164*2400+K164+L164+M164</f>
        <v/>
      </c>
      <c r="O164" s="10">
        <f>(K164+M164)/G164</f>
        <v/>
      </c>
      <c r="P164" s="10">
        <f>L164/G164</f>
        <v/>
      </c>
      <c r="Q164" s="10">
        <f>N164*D164/1000</f>
        <v/>
      </c>
      <c r="R164" s="11">
        <f>K164*D164/1000</f>
        <v/>
      </c>
      <c r="S164" s="11">
        <f>L164*D164/1000</f>
        <v/>
      </c>
    </row>
    <row r="165" ht="46.5" customHeight="1">
      <c r="A165" s="25" t="inlineStr">
        <is>
          <t>LAJE</t>
        </is>
      </c>
      <c r="B165" s="25" t="inlineStr">
        <is>
          <t>L-3122A</t>
        </is>
      </c>
      <c r="C165" s="25" t="inlineStr">
        <is>
          <t>L3122A-FORMA E ARMAÇÃO-R00</t>
        </is>
      </c>
      <c r="D165" s="25" t="n">
        <v>1</v>
      </c>
      <c r="E165" s="25" t="inlineStr">
        <is>
          <t>26x125</t>
        </is>
      </c>
      <c r="F165" s="25" t="n">
        <v>1031</v>
      </c>
      <c r="G165" s="25" t="n">
        <v>1.95</v>
      </c>
      <c r="H165" s="25">
        <f>G165*D165</f>
        <v/>
      </c>
      <c r="I165" s="25" t="n">
        <v>45</v>
      </c>
      <c r="J165" s="25" t="n">
        <v>31.5</v>
      </c>
      <c r="K165" s="37" t="n">
        <v>0</v>
      </c>
      <c r="L165" s="37" t="n">
        <v>81.66</v>
      </c>
      <c r="M165" s="37" t="n"/>
      <c r="N165" s="10">
        <f>G165*2400+K165+L165+M165</f>
        <v/>
      </c>
      <c r="O165" s="10">
        <f>(K165+M165)/G165</f>
        <v/>
      </c>
      <c r="P165" s="10">
        <f>L165/G165</f>
        <v/>
      </c>
      <c r="Q165" s="10">
        <f>N165*D165/1000</f>
        <v/>
      </c>
      <c r="R165" s="11">
        <f>K165*D165/1000</f>
        <v/>
      </c>
      <c r="S165" s="11">
        <f>L165*D165/1000</f>
        <v/>
      </c>
    </row>
    <row r="166" ht="46.5" customHeight="1">
      <c r="A166" s="25" t="inlineStr">
        <is>
          <t>LAJE</t>
        </is>
      </c>
      <c r="B166" s="25" t="inlineStr">
        <is>
          <t>L-3122B</t>
        </is>
      </c>
      <c r="C166" s="25" t="inlineStr">
        <is>
          <t>L3122B-FORMA E ARMAÇÃO-R00</t>
        </is>
      </c>
      <c r="D166" s="25" t="n">
        <v>1</v>
      </c>
      <c r="E166" s="25" t="inlineStr">
        <is>
          <t>26x125</t>
        </is>
      </c>
      <c r="F166" s="25" t="n">
        <v>1031</v>
      </c>
      <c r="G166" s="25" t="n">
        <v>1.93</v>
      </c>
      <c r="H166" s="25">
        <f>G166*D166</f>
        <v/>
      </c>
      <c r="I166" s="25" t="n">
        <v>45</v>
      </c>
      <c r="J166" s="25" t="n">
        <v>31.5</v>
      </c>
      <c r="K166" s="37" t="n">
        <v>0</v>
      </c>
      <c r="L166" s="37" t="n">
        <v>81.66</v>
      </c>
      <c r="M166" s="37" t="n"/>
      <c r="N166" s="10">
        <f>G166*2400+K166+L166+M166</f>
        <v/>
      </c>
      <c r="O166" s="10">
        <f>(K166+M166)/G166</f>
        <v/>
      </c>
      <c r="P166" s="10">
        <f>L166/G166</f>
        <v/>
      </c>
      <c r="Q166" s="10">
        <f>N166*D166/1000</f>
        <v/>
      </c>
      <c r="R166" s="11">
        <f>K166*D166/1000</f>
        <v/>
      </c>
      <c r="S166" s="11">
        <f>L166*D166/1000</f>
        <v/>
      </c>
    </row>
    <row r="167" ht="46.5" customHeight="1">
      <c r="A167" s="25" t="inlineStr">
        <is>
          <t>LAJE</t>
        </is>
      </c>
      <c r="B167" s="25" t="inlineStr">
        <is>
          <t>L-3123</t>
        </is>
      </c>
      <c r="C167" s="25" t="inlineStr">
        <is>
          <t>L3123-FORMA E ARMAÇÃO-R00</t>
        </is>
      </c>
      <c r="D167" s="25" t="n">
        <v>1</v>
      </c>
      <c r="E167" s="25" t="inlineStr">
        <is>
          <t>26x80</t>
        </is>
      </c>
      <c r="F167" s="25" t="n">
        <v>1031</v>
      </c>
      <c r="G167" s="25" t="n">
        <v>1.24</v>
      </c>
      <c r="H167" s="25">
        <f>G167*D167</f>
        <v/>
      </c>
      <c r="I167" s="25" t="n">
        <v>45</v>
      </c>
      <c r="J167" s="25" t="n">
        <v>31.5</v>
      </c>
      <c r="K167" s="37" t="n">
        <v>0</v>
      </c>
      <c r="L167" s="37" t="n">
        <v>81.66</v>
      </c>
      <c r="M167" s="37" t="n"/>
      <c r="N167" s="10">
        <f>G167*2400+K167+L167+M167</f>
        <v/>
      </c>
      <c r="O167" s="10">
        <f>(K167+M167)/G167</f>
        <v/>
      </c>
      <c r="P167" s="10">
        <f>L167/G167</f>
        <v/>
      </c>
      <c r="Q167" s="10">
        <f>N167*D167/1000</f>
        <v/>
      </c>
      <c r="R167" s="11">
        <f>K167*D167/1000</f>
        <v/>
      </c>
      <c r="S167" s="11">
        <f>L167*D167/1000</f>
        <v/>
      </c>
    </row>
    <row r="168" ht="46.5" customHeight="1">
      <c r="A168" s="25" t="inlineStr">
        <is>
          <t>LAJE</t>
        </is>
      </c>
      <c r="B168" s="25" t="inlineStr">
        <is>
          <t>L-3123A</t>
        </is>
      </c>
      <c r="C168" s="25" t="inlineStr">
        <is>
          <t>L3123A-FORMA E ARMAÇÃO-R00</t>
        </is>
      </c>
      <c r="D168" s="25" t="n">
        <v>3</v>
      </c>
      <c r="E168" s="25" t="inlineStr">
        <is>
          <t>26x62</t>
        </is>
      </c>
      <c r="F168" s="25" t="n">
        <v>1031</v>
      </c>
      <c r="G168" s="25" t="n">
        <v>0.95</v>
      </c>
      <c r="H168" s="25">
        <f>G168*D168</f>
        <v/>
      </c>
      <c r="I168" s="25" t="n">
        <v>45</v>
      </c>
      <c r="J168" s="25" t="n">
        <v>31.5</v>
      </c>
      <c r="K168" s="37" t="n">
        <v>0</v>
      </c>
      <c r="L168" s="37" t="n">
        <v>81.66</v>
      </c>
      <c r="M168" s="37" t="n"/>
      <c r="N168" s="10">
        <f>G168*2400+K168+L168+M168</f>
        <v/>
      </c>
      <c r="O168" s="10">
        <f>(K168+M168)/G168</f>
        <v/>
      </c>
      <c r="P168" s="10">
        <f>L168/G168</f>
        <v/>
      </c>
      <c r="Q168" s="10">
        <f>N168*D168/1000</f>
        <v/>
      </c>
      <c r="R168" s="11">
        <f>K168*D168/1000</f>
        <v/>
      </c>
      <c r="S168" s="11">
        <f>L168*D168/1000</f>
        <v/>
      </c>
    </row>
    <row r="169" ht="46.5" customHeight="1">
      <c r="A169" s="25" t="inlineStr">
        <is>
          <t>LAJE</t>
        </is>
      </c>
      <c r="B169" s="25" t="inlineStr">
        <is>
          <t>L-3124</t>
        </is>
      </c>
      <c r="C169" s="25" t="inlineStr">
        <is>
          <t>L3124-FORMA E ARMAÇÃO-R00</t>
        </is>
      </c>
      <c r="D169" s="25" t="n">
        <v>1</v>
      </c>
      <c r="E169" s="25" t="inlineStr">
        <is>
          <t>26x125</t>
        </is>
      </c>
      <c r="F169" s="25" t="n">
        <v>1031</v>
      </c>
      <c r="G169" s="25" t="n">
        <v>1.94</v>
      </c>
      <c r="H169" s="25">
        <f>G169*D169</f>
        <v/>
      </c>
      <c r="I169" s="25" t="n">
        <v>45</v>
      </c>
      <c r="J169" s="25" t="n">
        <v>31.5</v>
      </c>
      <c r="K169" s="37" t="n">
        <v>0</v>
      </c>
      <c r="L169" s="37" t="n">
        <v>81.66</v>
      </c>
      <c r="M169" s="37" t="n"/>
      <c r="N169" s="10">
        <f>G169*2400+K169+L169+M169</f>
        <v/>
      </c>
      <c r="O169" s="10">
        <f>(K169+M169)/G169</f>
        <v/>
      </c>
      <c r="P169" s="10">
        <f>L169/G169</f>
        <v/>
      </c>
      <c r="Q169" s="10">
        <f>N169*D169/1000</f>
        <v/>
      </c>
      <c r="R169" s="11">
        <f>K169*D169/1000</f>
        <v/>
      </c>
      <c r="S169" s="11">
        <f>L169*D169/1000</f>
        <v/>
      </c>
    </row>
    <row r="170" ht="46.5" customHeight="1">
      <c r="A170" s="25" t="inlineStr">
        <is>
          <t>LAJE</t>
        </is>
      </c>
      <c r="B170" s="25" t="inlineStr">
        <is>
          <t>L-3125</t>
        </is>
      </c>
      <c r="C170" s="25" t="inlineStr">
        <is>
          <t>L3125-FORMA E ARMAÇÃO-R00</t>
        </is>
      </c>
      <c r="D170" s="25" t="n">
        <v>1</v>
      </c>
      <c r="E170" s="25" t="inlineStr">
        <is>
          <t>26x125</t>
        </is>
      </c>
      <c r="F170" s="25" t="n">
        <v>1031</v>
      </c>
      <c r="G170" s="25" t="n">
        <v>1.94</v>
      </c>
      <c r="H170" s="25">
        <f>G170*D170</f>
        <v/>
      </c>
      <c r="I170" s="25" t="n">
        <v>45</v>
      </c>
      <c r="J170" s="25" t="n">
        <v>31.5</v>
      </c>
      <c r="K170" s="37" t="n">
        <v>0</v>
      </c>
      <c r="L170" s="37" t="n">
        <v>81.66</v>
      </c>
      <c r="M170" s="37" t="n"/>
      <c r="N170" s="10">
        <f>G170*2400+K170+L170+M170</f>
        <v/>
      </c>
      <c r="O170" s="10">
        <f>(K170+M170)/G170</f>
        <v/>
      </c>
      <c r="P170" s="10">
        <f>L170/G170</f>
        <v/>
      </c>
      <c r="Q170" s="10">
        <f>N170*D170/1000</f>
        <v/>
      </c>
      <c r="R170" s="11">
        <f>K170*D170/1000</f>
        <v/>
      </c>
      <c r="S170" s="11">
        <f>L170*D170/1000</f>
        <v/>
      </c>
    </row>
    <row r="171" ht="46.5" customHeight="1">
      <c r="A171" s="25" t="inlineStr">
        <is>
          <t>LAJE</t>
        </is>
      </c>
      <c r="B171" s="25" t="inlineStr">
        <is>
          <t>L-3126</t>
        </is>
      </c>
      <c r="C171" s="25" t="inlineStr">
        <is>
          <t>L3126-FORMA E ARMAÇÃO-R00</t>
        </is>
      </c>
      <c r="D171" s="25" t="n">
        <v>1</v>
      </c>
      <c r="E171" s="25" t="inlineStr">
        <is>
          <t>26x125</t>
        </is>
      </c>
      <c r="F171" s="25" t="n">
        <v>1031</v>
      </c>
      <c r="G171" s="25" t="n">
        <v>1.93</v>
      </c>
      <c r="H171" s="25">
        <f>G171*D171</f>
        <v/>
      </c>
      <c r="I171" s="25" t="n">
        <v>45</v>
      </c>
      <c r="J171" s="25" t="n">
        <v>31.5</v>
      </c>
      <c r="K171" s="37" t="n">
        <v>0</v>
      </c>
      <c r="L171" s="37" t="n">
        <v>81.66</v>
      </c>
      <c r="M171" s="37" t="n"/>
      <c r="N171" s="10">
        <f>G171*2400+K171+L171+M171</f>
        <v/>
      </c>
      <c r="O171" s="10">
        <f>(K171+M171)/G171</f>
        <v/>
      </c>
      <c r="P171" s="10">
        <f>L171/G171</f>
        <v/>
      </c>
      <c r="Q171" s="10">
        <f>N171*D171/1000</f>
        <v/>
      </c>
      <c r="R171" s="11">
        <f>K171*D171/1000</f>
        <v/>
      </c>
      <c r="S171" s="11">
        <f>L171*D171/1000</f>
        <v/>
      </c>
    </row>
    <row r="172" ht="46.5" customHeight="1">
      <c r="A172" s="25" t="inlineStr">
        <is>
          <t>LAJE</t>
        </is>
      </c>
      <c r="B172" s="25" t="inlineStr">
        <is>
          <t>L-3127</t>
        </is>
      </c>
      <c r="C172" s="25" t="inlineStr">
        <is>
          <t>L3127-FORMA E ARMAÇÃO-R00</t>
        </is>
      </c>
      <c r="D172" s="25" t="n">
        <v>1</v>
      </c>
      <c r="E172" s="25" t="inlineStr">
        <is>
          <t>26x125</t>
        </is>
      </c>
      <c r="F172" s="25" t="n">
        <v>1031</v>
      </c>
      <c r="G172" s="25" t="n">
        <v>1.95</v>
      </c>
      <c r="H172" s="25">
        <f>G172*D172</f>
        <v/>
      </c>
      <c r="I172" s="25" t="n">
        <v>45</v>
      </c>
      <c r="J172" s="25" t="n">
        <v>31.5</v>
      </c>
      <c r="K172" s="37" t="n">
        <v>0</v>
      </c>
      <c r="L172" s="37" t="n">
        <v>81.66</v>
      </c>
      <c r="M172" s="37" t="n"/>
      <c r="N172" s="10">
        <f>G172*2400+K172+L172+M172</f>
        <v/>
      </c>
      <c r="O172" s="10">
        <f>(K172+M172)/G172</f>
        <v/>
      </c>
      <c r="P172" s="10">
        <f>L172/G172</f>
        <v/>
      </c>
      <c r="Q172" s="10">
        <f>N172*D172/1000</f>
        <v/>
      </c>
      <c r="R172" s="11">
        <f>K172*D172/1000</f>
        <v/>
      </c>
      <c r="S172" s="11">
        <f>L172*D172/1000</f>
        <v/>
      </c>
    </row>
    <row r="173" ht="46.5" customHeight="1">
      <c r="A173" s="25" t="inlineStr">
        <is>
          <t>LAJE</t>
        </is>
      </c>
      <c r="B173" s="25" t="inlineStr">
        <is>
          <t>L-3128</t>
        </is>
      </c>
      <c r="C173" s="25" t="inlineStr">
        <is>
          <t>L3128-FORMA E ARMAÇÃO-R00</t>
        </is>
      </c>
      <c r="D173" s="25" t="n">
        <v>1</v>
      </c>
      <c r="E173" s="25" t="inlineStr">
        <is>
          <t>26x80</t>
        </is>
      </c>
      <c r="F173" s="25" t="n">
        <v>1031</v>
      </c>
      <c r="G173" s="25" t="n">
        <v>1.23</v>
      </c>
      <c r="H173" s="25">
        <f>G173*D173</f>
        <v/>
      </c>
      <c r="I173" s="25" t="n">
        <v>45</v>
      </c>
      <c r="J173" s="25" t="n">
        <v>31.5</v>
      </c>
      <c r="K173" s="37" t="n">
        <v>0</v>
      </c>
      <c r="L173" s="37" t="n">
        <v>81.66</v>
      </c>
      <c r="M173" s="37" t="n"/>
      <c r="N173" s="10">
        <f>G173*2400+K173+L173+M173</f>
        <v/>
      </c>
      <c r="O173" s="10">
        <f>(K173+M173)/G173</f>
        <v/>
      </c>
      <c r="P173" s="10">
        <f>L173/G173</f>
        <v/>
      </c>
      <c r="Q173" s="10">
        <f>N173*D173/1000</f>
        <v/>
      </c>
      <c r="R173" s="11">
        <f>K173*D173/1000</f>
        <v/>
      </c>
      <c r="S173" s="11">
        <f>L173*D173/1000</f>
        <v/>
      </c>
    </row>
    <row r="174" ht="46.5" customHeight="1">
      <c r="A174" s="25" t="inlineStr">
        <is>
          <t>LAJE</t>
        </is>
      </c>
      <c r="B174" s="25" t="inlineStr">
        <is>
          <t>L-3129</t>
        </is>
      </c>
      <c r="C174" s="25" t="inlineStr">
        <is>
          <t>L3129-FORMA E ARMAÇÃO-R00</t>
        </is>
      </c>
      <c r="D174" s="25" t="n">
        <v>1</v>
      </c>
      <c r="E174" s="25" t="inlineStr">
        <is>
          <t>26x125</t>
        </is>
      </c>
      <c r="F174" s="25" t="n">
        <v>1031</v>
      </c>
      <c r="G174" s="25" t="n">
        <v>1.94</v>
      </c>
      <c r="H174" s="25">
        <f>G174*D174</f>
        <v/>
      </c>
      <c r="I174" s="25" t="n">
        <v>45</v>
      </c>
      <c r="J174" s="25" t="n">
        <v>31.5</v>
      </c>
      <c r="K174" s="37" t="n">
        <v>0</v>
      </c>
      <c r="L174" s="37" t="n">
        <v>81.66</v>
      </c>
      <c r="M174" s="37" t="n"/>
      <c r="N174" s="10">
        <f>G174*2400+K174+L174+M174</f>
        <v/>
      </c>
      <c r="O174" s="10">
        <f>(K174+M174)/G174</f>
        <v/>
      </c>
      <c r="P174" s="10">
        <f>L174/G174</f>
        <v/>
      </c>
      <c r="Q174" s="10">
        <f>N174*D174/1000</f>
        <v/>
      </c>
      <c r="R174" s="11">
        <f>K174*D174/1000</f>
        <v/>
      </c>
      <c r="S174" s="11">
        <f>L174*D174/1000</f>
        <v/>
      </c>
    </row>
    <row r="175" ht="46.5" customHeight="1">
      <c r="A175" s="25" t="inlineStr">
        <is>
          <t>LAJE</t>
        </is>
      </c>
      <c r="B175" s="25" t="inlineStr">
        <is>
          <t>L-3130</t>
        </is>
      </c>
      <c r="C175" s="25" t="inlineStr">
        <is>
          <t>L3130-FORMA E ARMAÇÃO-R00</t>
        </is>
      </c>
      <c r="D175" s="25" t="n">
        <v>1</v>
      </c>
      <c r="E175" s="25" t="inlineStr">
        <is>
          <t>26x125</t>
        </is>
      </c>
      <c r="F175" s="25" t="n">
        <v>1031</v>
      </c>
      <c r="G175" s="25" t="n">
        <v>1.94</v>
      </c>
      <c r="H175" s="25">
        <f>G175*D175</f>
        <v/>
      </c>
      <c r="I175" s="25" t="n">
        <v>45</v>
      </c>
      <c r="J175" s="25" t="n">
        <v>31.5</v>
      </c>
      <c r="K175" s="37" t="n">
        <v>0</v>
      </c>
      <c r="L175" s="37" t="n">
        <v>81.66</v>
      </c>
      <c r="M175" s="37" t="n"/>
      <c r="N175" s="10">
        <f>G175*2400+K175+L175+M175</f>
        <v/>
      </c>
      <c r="O175" s="10">
        <f>(K175+M175)/G175</f>
        <v/>
      </c>
      <c r="P175" s="10">
        <f>L175/G175</f>
        <v/>
      </c>
      <c r="Q175" s="10">
        <f>N175*D175/1000</f>
        <v/>
      </c>
      <c r="R175" s="11">
        <f>K175*D175/1000</f>
        <v/>
      </c>
      <c r="S175" s="11">
        <f>L175*D175/1000</f>
        <v/>
      </c>
    </row>
    <row r="176" ht="46.5" customHeight="1">
      <c r="A176" s="25" t="inlineStr">
        <is>
          <t>LAJE</t>
        </is>
      </c>
      <c r="B176" s="25" t="inlineStr">
        <is>
          <t>L-3131</t>
        </is>
      </c>
      <c r="C176" s="25" t="inlineStr">
        <is>
          <t>L3131-FORMA E ARMAÇÃO-R00</t>
        </is>
      </c>
      <c r="D176" s="25" t="n">
        <v>1</v>
      </c>
      <c r="E176" s="25" t="inlineStr">
        <is>
          <t>26x85</t>
        </is>
      </c>
      <c r="F176" s="25" t="n">
        <v>1031</v>
      </c>
      <c r="G176" s="25" t="n">
        <v>1.31</v>
      </c>
      <c r="H176" s="25">
        <f>G176*D176</f>
        <v/>
      </c>
      <c r="I176" s="25" t="n">
        <v>45</v>
      </c>
      <c r="J176" s="25" t="n">
        <v>31.5</v>
      </c>
      <c r="K176" s="37" t="n">
        <v>0</v>
      </c>
      <c r="L176" s="37" t="n">
        <v>81.66</v>
      </c>
      <c r="M176" s="37" t="n"/>
      <c r="N176" s="10">
        <f>G176*2400+K176+L176+M176</f>
        <v/>
      </c>
      <c r="O176" s="10">
        <f>(K176+M176)/G176</f>
        <v/>
      </c>
      <c r="P176" s="10">
        <f>L176/G176</f>
        <v/>
      </c>
      <c r="Q176" s="10">
        <f>N176*D176/1000</f>
        <v/>
      </c>
      <c r="R176" s="11">
        <f>K176*D176/1000</f>
        <v/>
      </c>
      <c r="S176" s="11">
        <f>L176*D176/1000</f>
        <v/>
      </c>
    </row>
    <row r="177" ht="46.5" customHeight="1">
      <c r="A177" s="25" t="inlineStr">
        <is>
          <t>LAJE</t>
        </is>
      </c>
      <c r="B177" s="25" t="inlineStr">
        <is>
          <t>L-3132</t>
        </is>
      </c>
      <c r="C177" s="25" t="inlineStr">
        <is>
          <t>L3132-FORMA E ARMAÇÃO-R00</t>
        </is>
      </c>
      <c r="D177" s="25" t="n">
        <v>1</v>
      </c>
      <c r="E177" s="25" t="inlineStr">
        <is>
          <t>26x85</t>
        </is>
      </c>
      <c r="F177" s="25" t="n">
        <v>1031</v>
      </c>
      <c r="G177" s="25" t="n">
        <v>1.32</v>
      </c>
      <c r="H177" s="25">
        <f>G177*D177</f>
        <v/>
      </c>
      <c r="I177" s="25" t="n">
        <v>45</v>
      </c>
      <c r="J177" s="25" t="n">
        <v>31.5</v>
      </c>
      <c r="K177" s="37" t="n">
        <v>0</v>
      </c>
      <c r="L177" s="37" t="n">
        <v>81.66</v>
      </c>
      <c r="M177" s="37" t="n"/>
      <c r="N177" s="10">
        <f>G177*2400+K177+L177+M177</f>
        <v/>
      </c>
      <c r="O177" s="10">
        <f>(K177+M177)/G177</f>
        <v/>
      </c>
      <c r="P177" s="10">
        <f>L177/G177</f>
        <v/>
      </c>
      <c r="Q177" s="10">
        <f>N177*D177/1000</f>
        <v/>
      </c>
      <c r="R177" s="11">
        <f>K177*D177/1000</f>
        <v/>
      </c>
      <c r="S177" s="11">
        <f>L177*D177/1000</f>
        <v/>
      </c>
    </row>
    <row r="178" ht="46.5" customHeight="1">
      <c r="A178" s="25" t="inlineStr">
        <is>
          <t>LAJE</t>
        </is>
      </c>
      <c r="B178" s="25" t="inlineStr">
        <is>
          <t>L-3133</t>
        </is>
      </c>
      <c r="C178" s="25" t="inlineStr">
        <is>
          <t>L3133-FORMA E ARMAÇÃO-R00</t>
        </is>
      </c>
      <c r="D178" s="25" t="n">
        <v>1</v>
      </c>
      <c r="E178" s="25" t="inlineStr">
        <is>
          <t>26x77</t>
        </is>
      </c>
      <c r="F178" s="25" t="n">
        <v>1031</v>
      </c>
      <c r="G178" s="25" t="n">
        <v>1.17</v>
      </c>
      <c r="H178" s="25">
        <f>G178*D178</f>
        <v/>
      </c>
      <c r="I178" s="25" t="n">
        <v>45</v>
      </c>
      <c r="J178" s="25" t="n">
        <v>31.5</v>
      </c>
      <c r="K178" s="37" t="n">
        <v>0</v>
      </c>
      <c r="L178" s="37" t="n">
        <v>81.66</v>
      </c>
      <c r="M178" s="37" t="n"/>
      <c r="N178" s="10">
        <f>G178*2400+K178+L178+M178</f>
        <v/>
      </c>
      <c r="O178" s="10">
        <f>(K178+M178)/G178</f>
        <v/>
      </c>
      <c r="P178" s="10">
        <f>L178/G178</f>
        <v/>
      </c>
      <c r="Q178" s="10">
        <f>N178*D178/1000</f>
        <v/>
      </c>
      <c r="R178" s="11">
        <f>K178*D178/1000</f>
        <v/>
      </c>
      <c r="S178" s="11">
        <f>L178*D178/1000</f>
        <v/>
      </c>
    </row>
    <row r="179" ht="46.5" customHeight="1">
      <c r="A179" s="25" t="inlineStr">
        <is>
          <t>LAJE</t>
        </is>
      </c>
      <c r="B179" s="25" t="inlineStr">
        <is>
          <t>L-3134</t>
        </is>
      </c>
      <c r="C179" s="25" t="inlineStr">
        <is>
          <t>L3134-FORMA E ARMAÇÃO-R00</t>
        </is>
      </c>
      <c r="D179" s="25" t="n">
        <v>1</v>
      </c>
      <c r="E179" s="25" t="inlineStr">
        <is>
          <t>26x125</t>
        </is>
      </c>
      <c r="F179" s="25" t="n">
        <v>1031</v>
      </c>
      <c r="G179" s="25" t="n">
        <v>1.95</v>
      </c>
      <c r="H179" s="25">
        <f>G179*D179</f>
        <v/>
      </c>
      <c r="I179" s="25" t="n">
        <v>45</v>
      </c>
      <c r="J179" s="25" t="n">
        <v>31.5</v>
      </c>
      <c r="K179" s="37" t="n">
        <v>0</v>
      </c>
      <c r="L179" s="37" t="n">
        <v>81.66</v>
      </c>
      <c r="M179" s="37" t="n"/>
      <c r="N179" s="10">
        <f>G179*2400+K179+L179+M179</f>
        <v/>
      </c>
      <c r="O179" s="10">
        <f>(K179+M179)/G179</f>
        <v/>
      </c>
      <c r="P179" s="10">
        <f>L179/G179</f>
        <v/>
      </c>
      <c r="Q179" s="10">
        <f>N179*D179/1000</f>
        <v/>
      </c>
      <c r="R179" s="11">
        <f>K179*D179/1000</f>
        <v/>
      </c>
      <c r="S179" s="11">
        <f>L179*D179/1000</f>
        <v/>
      </c>
    </row>
    <row r="180" ht="46.5" customHeight="1">
      <c r="A180" s="25" t="inlineStr">
        <is>
          <t>LAJE</t>
        </is>
      </c>
      <c r="B180" s="25" t="inlineStr">
        <is>
          <t>L-3172 = L-4149</t>
        </is>
      </c>
      <c r="C180" s="25" t="inlineStr">
        <is>
          <t>L3172=L4149-FORMA E ARMAÇÃO-R00</t>
        </is>
      </c>
      <c r="D180" s="25" t="n">
        <v>2</v>
      </c>
      <c r="E180" s="25" t="inlineStr">
        <is>
          <t>16x79,5</t>
        </is>
      </c>
      <c r="F180" s="25" t="n">
        <v>632</v>
      </c>
      <c r="G180" s="25" t="n">
        <v>0.49</v>
      </c>
      <c r="H180" s="25">
        <f>G180*D180</f>
        <v/>
      </c>
      <c r="I180" s="25" t="n">
        <v>45</v>
      </c>
      <c r="J180" s="25" t="n">
        <v>31.5</v>
      </c>
      <c r="K180" s="37" t="n">
        <v>0</v>
      </c>
      <c r="L180" s="37" t="n">
        <v>19.51</v>
      </c>
      <c r="M180" s="37" t="n"/>
      <c r="N180" s="10">
        <f>G180*2400+K180+L180+M180</f>
        <v/>
      </c>
      <c r="O180" s="10">
        <f>(K180+M180)/G180</f>
        <v/>
      </c>
      <c r="P180" s="10">
        <f>L180/G180</f>
        <v/>
      </c>
      <c r="Q180" s="10">
        <f>N180*D180/1000</f>
        <v/>
      </c>
      <c r="R180" s="11">
        <f>K180*D180/1000</f>
        <v/>
      </c>
      <c r="S180" s="11">
        <f>L180*D180/1000</f>
        <v/>
      </c>
    </row>
    <row r="181" ht="46.5" customHeight="1">
      <c r="A181" s="25" t="inlineStr">
        <is>
          <t>LAJE</t>
        </is>
      </c>
      <c r="B181" s="25" t="inlineStr">
        <is>
          <t>L-3173 = L-4150</t>
        </is>
      </c>
      <c r="C181" s="25" t="inlineStr">
        <is>
          <t>L3173=L4150-FORMA E ARMAÇÃO-R00</t>
        </is>
      </c>
      <c r="D181" s="25" t="n">
        <v>2</v>
      </c>
      <c r="E181" s="25" t="inlineStr">
        <is>
          <t>16x94,5</t>
        </is>
      </c>
      <c r="F181" s="25" t="n">
        <v>632</v>
      </c>
      <c r="G181" s="25" t="n">
        <v>0.59</v>
      </c>
      <c r="H181" s="25">
        <f>G181*D181</f>
        <v/>
      </c>
      <c r="I181" s="25" t="n">
        <v>45</v>
      </c>
      <c r="J181" s="25" t="n">
        <v>31.5</v>
      </c>
      <c r="K181" s="37" t="n">
        <v>0</v>
      </c>
      <c r="L181" s="37" t="n">
        <v>19.51</v>
      </c>
      <c r="M181" s="37" t="n"/>
      <c r="N181" s="10">
        <f>G181*2400+K181+L181+M181</f>
        <v/>
      </c>
      <c r="O181" s="10">
        <f>(K181+M181)/G181</f>
        <v/>
      </c>
      <c r="P181" s="10">
        <f>L181/G181</f>
        <v/>
      </c>
      <c r="Q181" s="10">
        <f>N181*D181/1000</f>
        <v/>
      </c>
      <c r="R181" s="11">
        <f>K181*D181/1000</f>
        <v/>
      </c>
      <c r="S181" s="11">
        <f>L181*D181/1000</f>
        <v/>
      </c>
    </row>
    <row r="182" ht="46.5" customHeight="1">
      <c r="A182" s="25" t="inlineStr">
        <is>
          <t>LAJE</t>
        </is>
      </c>
      <c r="B182" s="25" t="inlineStr">
        <is>
          <t>L-4020</t>
        </is>
      </c>
      <c r="C182" s="25" t="inlineStr">
        <is>
          <t>L4020-FORMA E ARMAÇÃO-R00</t>
        </is>
      </c>
      <c r="D182" s="25" t="n">
        <v>1</v>
      </c>
      <c r="E182" s="25" t="inlineStr">
        <is>
          <t>16x125</t>
        </is>
      </c>
      <c r="F182" s="25" t="n">
        <v>573.5</v>
      </c>
      <c r="G182" s="25" t="n">
        <v>0.71</v>
      </c>
      <c r="H182" s="25">
        <f>G182*D182</f>
        <v/>
      </c>
      <c r="I182" s="25" t="n">
        <v>45</v>
      </c>
      <c r="J182" s="25" t="n">
        <v>31.5</v>
      </c>
      <c r="K182" s="37" t="n">
        <v>0</v>
      </c>
      <c r="L182" s="37" t="n">
        <v>12.65</v>
      </c>
      <c r="M182" s="37" t="n"/>
      <c r="N182" s="10">
        <f>G182*2400+K182+L182+M182</f>
        <v/>
      </c>
      <c r="O182" s="10">
        <f>(K182+M182)/G182</f>
        <v/>
      </c>
      <c r="P182" s="10">
        <f>L182/G182</f>
        <v/>
      </c>
      <c r="Q182" s="10">
        <f>N182*D182/1000</f>
        <v/>
      </c>
      <c r="R182" s="11">
        <f>K182*D182/1000</f>
        <v/>
      </c>
      <c r="S182" s="11">
        <f>L182*D182/1000</f>
        <v/>
      </c>
    </row>
    <row r="183" ht="46.5" customHeight="1">
      <c r="A183" s="25" t="inlineStr">
        <is>
          <t>LAJE</t>
        </is>
      </c>
      <c r="B183" s="25" t="inlineStr">
        <is>
          <t>L-4022</t>
        </is>
      </c>
      <c r="C183" s="25" t="inlineStr">
        <is>
          <t>L4022-FORMA E ARMAÇÃO-R00</t>
        </is>
      </c>
      <c r="D183" s="25" t="n">
        <v>1</v>
      </c>
      <c r="E183" s="25" t="inlineStr">
        <is>
          <t>16x109</t>
        </is>
      </c>
      <c r="F183" s="25" t="n">
        <v>573.5</v>
      </c>
      <c r="G183" s="25" t="n">
        <v>0.62</v>
      </c>
      <c r="H183" s="25">
        <f>G183*D183</f>
        <v/>
      </c>
      <c r="I183" s="25" t="n">
        <v>45</v>
      </c>
      <c r="J183" s="25" t="n">
        <v>31.5</v>
      </c>
      <c r="K183" s="37" t="n">
        <v>0</v>
      </c>
      <c r="L183" s="37" t="n">
        <v>12.65</v>
      </c>
      <c r="M183" s="37" t="n"/>
      <c r="N183" s="10">
        <f>G183*2400+K183+L183+M183</f>
        <v/>
      </c>
      <c r="O183" s="10">
        <f>(K183+M183)/G183</f>
        <v/>
      </c>
      <c r="P183" s="10">
        <f>L183/G183</f>
        <v/>
      </c>
      <c r="Q183" s="10">
        <f>N183*D183/1000</f>
        <v/>
      </c>
      <c r="R183" s="11">
        <f>K183*D183/1000</f>
        <v/>
      </c>
      <c r="S183" s="11">
        <f>L183*D183/1000</f>
        <v/>
      </c>
    </row>
    <row r="184" ht="46.5" customHeight="1">
      <c r="A184" s="25" t="inlineStr">
        <is>
          <t>LAJE</t>
        </is>
      </c>
      <c r="B184" s="25" t="inlineStr">
        <is>
          <t>L-4024</t>
        </is>
      </c>
      <c r="C184" s="25" t="inlineStr">
        <is>
          <t>L4024-FORMA E ARMAÇÃO-R00</t>
        </is>
      </c>
      <c r="D184" s="25" t="n">
        <v>1</v>
      </c>
      <c r="E184" s="25" t="inlineStr">
        <is>
          <t>16x125</t>
        </is>
      </c>
      <c r="F184" s="25" t="n">
        <v>573.5</v>
      </c>
      <c r="G184" s="25" t="n">
        <v>0.71</v>
      </c>
      <c r="H184" s="25">
        <f>G184*D184</f>
        <v/>
      </c>
      <c r="I184" s="25" t="n">
        <v>45</v>
      </c>
      <c r="J184" s="25" t="n">
        <v>31.5</v>
      </c>
      <c r="K184" s="37" t="n">
        <v>0</v>
      </c>
      <c r="L184" s="37" t="n">
        <v>12.65</v>
      </c>
      <c r="M184" s="37" t="n"/>
      <c r="N184" s="10">
        <f>G184*2400+K184+L184+M184</f>
        <v/>
      </c>
      <c r="O184" s="10">
        <f>(K184+M184)/G184</f>
        <v/>
      </c>
      <c r="P184" s="10">
        <f>L184/G184</f>
        <v/>
      </c>
      <c r="Q184" s="10">
        <f>N184*D184/1000</f>
        <v/>
      </c>
      <c r="R184" s="11">
        <f>K184*D184/1000</f>
        <v/>
      </c>
      <c r="S184" s="11">
        <f>L184*D184/1000</f>
        <v/>
      </c>
    </row>
    <row r="185" ht="46.5" customHeight="1">
      <c r="A185" s="25" t="inlineStr">
        <is>
          <t>LAJE</t>
        </is>
      </c>
      <c r="B185" s="25" t="inlineStr">
        <is>
          <t>L-4106</t>
        </is>
      </c>
      <c r="C185" s="25" t="inlineStr">
        <is>
          <t>L4106-FORMA E ARMAÇÃO-R00</t>
        </is>
      </c>
      <c r="D185" s="25" t="n">
        <v>1</v>
      </c>
      <c r="E185" s="25" t="inlineStr">
        <is>
          <t>16x125</t>
        </is>
      </c>
      <c r="F185" s="25" t="n">
        <v>505</v>
      </c>
      <c r="G185" s="25" t="n">
        <v>0.61</v>
      </c>
      <c r="H185" s="25">
        <f>G185*D185</f>
        <v/>
      </c>
      <c r="I185" s="25" t="n">
        <v>45</v>
      </c>
      <c r="J185" s="25" t="n">
        <v>31.5</v>
      </c>
      <c r="K185" s="37" t="n">
        <v>0</v>
      </c>
      <c r="L185" s="37" t="n">
        <v>11.14</v>
      </c>
      <c r="M185" s="37" t="n"/>
      <c r="N185" s="10">
        <f>G185*2400+K185+L185+M185</f>
        <v/>
      </c>
      <c r="O185" s="10">
        <f>(K185+M185)/G185</f>
        <v/>
      </c>
      <c r="P185" s="10">
        <f>L185/G185</f>
        <v/>
      </c>
      <c r="Q185" s="10">
        <f>N185*D185/1000</f>
        <v/>
      </c>
      <c r="R185" s="11">
        <f>K185*D185/1000</f>
        <v/>
      </c>
      <c r="S185" s="11">
        <f>L185*D185/1000</f>
        <v/>
      </c>
    </row>
    <row r="186" ht="46.5" customHeight="1">
      <c r="A186" s="25" t="inlineStr">
        <is>
          <t>LAJE</t>
        </is>
      </c>
      <c r="B186" s="25" t="inlineStr">
        <is>
          <t>L-4107</t>
        </is>
      </c>
      <c r="C186" s="25" t="inlineStr">
        <is>
          <t>L4107-FORMA E ARMAÇÃO-R00</t>
        </is>
      </c>
      <c r="D186" s="25" t="n">
        <v>6</v>
      </c>
      <c r="E186" s="25" t="inlineStr">
        <is>
          <t>16x125</t>
        </is>
      </c>
      <c r="F186" s="25" t="n">
        <v>505</v>
      </c>
      <c r="G186" s="25" t="n">
        <v>0.63</v>
      </c>
      <c r="H186" s="25">
        <f>G186*D186</f>
        <v/>
      </c>
      <c r="I186" s="25" t="n">
        <v>45</v>
      </c>
      <c r="J186" s="25" t="n">
        <v>31.5</v>
      </c>
      <c r="K186" s="37" t="n">
        <v>0</v>
      </c>
      <c r="L186" s="37" t="n">
        <v>11.14</v>
      </c>
      <c r="M186" s="37" t="n"/>
      <c r="N186" s="10">
        <f>G186*2400+K186+L186+M186</f>
        <v/>
      </c>
      <c r="O186" s="10">
        <f>(K186+M186)/G186</f>
        <v/>
      </c>
      <c r="P186" s="10">
        <f>L186/G186</f>
        <v/>
      </c>
      <c r="Q186" s="10">
        <f>N186*D186/1000</f>
        <v/>
      </c>
      <c r="R186" s="11">
        <f>K186*D186/1000</f>
        <v/>
      </c>
      <c r="S186" s="11">
        <f>L186*D186/1000</f>
        <v/>
      </c>
    </row>
    <row r="187" ht="46.5" customHeight="1">
      <c r="A187" s="25" t="inlineStr">
        <is>
          <t>LAJE</t>
        </is>
      </c>
      <c r="B187" s="25" t="inlineStr">
        <is>
          <t>L-4108</t>
        </is>
      </c>
      <c r="C187" s="25" t="inlineStr">
        <is>
          <t>L4108-FORMA E ARMAÇÃO-R00</t>
        </is>
      </c>
      <c r="D187" s="25" t="n">
        <v>1</v>
      </c>
      <c r="E187" s="25" t="inlineStr">
        <is>
          <t>16x65</t>
        </is>
      </c>
      <c r="F187" s="25" t="n">
        <v>505</v>
      </c>
      <c r="G187" s="25" t="n">
        <v>0.31</v>
      </c>
      <c r="H187" s="25">
        <f>G187*D187</f>
        <v/>
      </c>
      <c r="I187" s="25" t="n">
        <v>45</v>
      </c>
      <c r="J187" s="25" t="n">
        <v>31.5</v>
      </c>
      <c r="K187" s="37" t="n">
        <v>0</v>
      </c>
      <c r="L187" s="37" t="n">
        <v>11.14</v>
      </c>
      <c r="M187" s="37" t="n"/>
      <c r="N187" s="10">
        <f>G187*2400+K187+L187+M187</f>
        <v/>
      </c>
      <c r="O187" s="10">
        <f>(K187+M187)/G187</f>
        <v/>
      </c>
      <c r="P187" s="10">
        <f>L187/G187</f>
        <v/>
      </c>
      <c r="Q187" s="10">
        <f>N187*D187/1000</f>
        <v/>
      </c>
      <c r="R187" s="11">
        <f>K187*D187/1000</f>
        <v/>
      </c>
      <c r="S187" s="11">
        <f>L187*D187/1000</f>
        <v/>
      </c>
    </row>
    <row r="188" ht="46.5" customHeight="1">
      <c r="A188" s="25" t="inlineStr">
        <is>
          <t>LAJE</t>
        </is>
      </c>
      <c r="B188" s="25" t="inlineStr">
        <is>
          <t>L-4109</t>
        </is>
      </c>
      <c r="C188" s="25" t="inlineStr">
        <is>
          <t>L4109-FORMA E ARMAÇÃO-R00</t>
        </is>
      </c>
      <c r="D188" s="25" t="n">
        <v>1</v>
      </c>
      <c r="E188" s="25" t="inlineStr">
        <is>
          <t>16x125</t>
        </is>
      </c>
      <c r="F188" s="25" t="n">
        <v>505</v>
      </c>
      <c r="G188" s="25" t="n">
        <v>0.52</v>
      </c>
      <c r="H188" s="25">
        <f>G188*D188</f>
        <v/>
      </c>
      <c r="I188" s="25" t="n">
        <v>45</v>
      </c>
      <c r="J188" s="25" t="n">
        <v>31.5</v>
      </c>
      <c r="K188" s="37" t="n">
        <v>0</v>
      </c>
      <c r="L188" s="37" t="n">
        <v>11.14</v>
      </c>
      <c r="M188" s="37" t="n"/>
      <c r="N188" s="10">
        <f>G188*2400+K188+L188+M188</f>
        <v/>
      </c>
      <c r="O188" s="10">
        <f>(K188+M188)/G188</f>
        <v/>
      </c>
      <c r="P188" s="10">
        <f>L188/G188</f>
        <v/>
      </c>
      <c r="Q188" s="10">
        <f>N188*D188/1000</f>
        <v/>
      </c>
      <c r="R188" s="11">
        <f>K188*D188/1000</f>
        <v/>
      </c>
      <c r="S188" s="11">
        <f>L188*D188/1000</f>
        <v/>
      </c>
    </row>
    <row r="189" ht="46.5" customHeight="1">
      <c r="A189" s="25" t="inlineStr">
        <is>
          <t>LAJE</t>
        </is>
      </c>
      <c r="B189" s="25" t="inlineStr">
        <is>
          <t>L-4110</t>
        </is>
      </c>
      <c r="C189" s="25" t="inlineStr">
        <is>
          <t>L4110-FORMA E ARMAÇÃO-R00</t>
        </is>
      </c>
      <c r="D189" s="25" t="n">
        <v>1</v>
      </c>
      <c r="E189" s="25" t="inlineStr">
        <is>
          <t>16x66</t>
        </is>
      </c>
      <c r="F189" s="25" t="n">
        <v>505</v>
      </c>
      <c r="G189" s="25" t="n">
        <v>0.33</v>
      </c>
      <c r="H189" s="25">
        <f>G189*D189</f>
        <v/>
      </c>
      <c r="I189" s="25" t="n">
        <v>45</v>
      </c>
      <c r="J189" s="25" t="n">
        <v>31.5</v>
      </c>
      <c r="K189" s="37" t="n">
        <v>0</v>
      </c>
      <c r="L189" s="37" t="n">
        <v>11.14</v>
      </c>
      <c r="M189" s="37" t="n"/>
      <c r="N189" s="10">
        <f>G189*2400+K189+L189+M189</f>
        <v/>
      </c>
      <c r="O189" s="10">
        <f>(K189+M189)/G189</f>
        <v/>
      </c>
      <c r="P189" s="10">
        <f>L189/G189</f>
        <v/>
      </c>
      <c r="Q189" s="10">
        <f>N189*D189/1000</f>
        <v/>
      </c>
      <c r="R189" s="11">
        <f>K189*D189/1000</f>
        <v/>
      </c>
      <c r="S189" s="11">
        <f>L189*D189/1000</f>
        <v/>
      </c>
    </row>
    <row r="190" ht="46.5" customHeight="1">
      <c r="A190" s="25" t="inlineStr">
        <is>
          <t>LAJE</t>
        </is>
      </c>
      <c r="B190" s="25" t="inlineStr">
        <is>
          <t>L-4111</t>
        </is>
      </c>
      <c r="C190" s="25" t="inlineStr">
        <is>
          <t>L4111-FORMA E ARMAÇÃO-R00</t>
        </is>
      </c>
      <c r="D190" s="25" t="n">
        <v>1</v>
      </c>
      <c r="E190" s="25" t="inlineStr">
        <is>
          <t>16x125</t>
        </is>
      </c>
      <c r="F190" s="25" t="n">
        <v>505</v>
      </c>
      <c r="G190" s="25" t="n">
        <v>0.62</v>
      </c>
      <c r="H190" s="25">
        <f>G190*D190</f>
        <v/>
      </c>
      <c r="I190" s="25" t="n">
        <v>45</v>
      </c>
      <c r="J190" s="25" t="n">
        <v>31.5</v>
      </c>
      <c r="K190" s="37" t="n">
        <v>0</v>
      </c>
      <c r="L190" s="37" t="n">
        <v>11.14</v>
      </c>
      <c r="M190" s="37" t="n"/>
      <c r="N190" s="10">
        <f>G190*2400+K190+L190+M190</f>
        <v/>
      </c>
      <c r="O190" s="10">
        <f>(K190+M190)/G190</f>
        <v/>
      </c>
      <c r="P190" s="10">
        <f>L190/G190</f>
        <v/>
      </c>
      <c r="Q190" s="10">
        <f>N190*D190/1000</f>
        <v/>
      </c>
      <c r="R190" s="11">
        <f>K190*D190/1000</f>
        <v/>
      </c>
      <c r="S190" s="11">
        <f>L190*D190/1000</f>
        <v/>
      </c>
    </row>
    <row r="191" ht="46.5" customHeight="1">
      <c r="A191" s="25" t="inlineStr">
        <is>
          <t>LAJE</t>
        </is>
      </c>
      <c r="B191" s="25" t="inlineStr">
        <is>
          <t>L-4112</t>
        </is>
      </c>
      <c r="C191" s="25" t="inlineStr">
        <is>
          <t>L4112-FORMA E ARMAÇÃO-R00</t>
        </is>
      </c>
      <c r="D191" s="25" t="n">
        <v>1</v>
      </c>
      <c r="E191" s="25" t="inlineStr">
        <is>
          <t>21x125</t>
        </is>
      </c>
      <c r="F191" s="25" t="n">
        <v>1025</v>
      </c>
      <c r="G191" s="25" t="n">
        <v>1.53</v>
      </c>
      <c r="H191" s="25">
        <f>G191*D191</f>
        <v/>
      </c>
      <c r="I191" s="25" t="n">
        <v>45</v>
      </c>
      <c r="J191" s="25" t="n">
        <v>31.5</v>
      </c>
      <c r="K191" s="37" t="n">
        <v>0</v>
      </c>
      <c r="L191" s="37" t="n">
        <v>48.71</v>
      </c>
      <c r="M191" s="37" t="n"/>
      <c r="N191" s="10">
        <f>G191*2400+K191+L191+M191</f>
        <v/>
      </c>
      <c r="O191" s="10">
        <f>(K191+M191)/G191</f>
        <v/>
      </c>
      <c r="P191" s="10">
        <f>L191/G191</f>
        <v/>
      </c>
      <c r="Q191" s="10">
        <f>N191*D191/1000</f>
        <v/>
      </c>
      <c r="R191" s="11">
        <f>K191*D191/1000</f>
        <v/>
      </c>
      <c r="S191" s="11">
        <f>L191*D191/1000</f>
        <v/>
      </c>
    </row>
    <row r="192" ht="46.5" customHeight="1">
      <c r="A192" s="25" t="inlineStr">
        <is>
          <t>LAJE</t>
        </is>
      </c>
      <c r="B192" s="25" t="inlineStr">
        <is>
          <t>L-4113</t>
        </is>
      </c>
      <c r="C192" s="25" t="inlineStr">
        <is>
          <t>L4113-FORMA E ARMAÇÃO-R00</t>
        </is>
      </c>
      <c r="D192" s="25" t="n">
        <v>8</v>
      </c>
      <c r="E192" s="25" t="inlineStr">
        <is>
          <t>21x125</t>
        </is>
      </c>
      <c r="F192" s="25" t="n">
        <v>1025</v>
      </c>
      <c r="G192" s="25" t="n">
        <v>1.53</v>
      </c>
      <c r="H192" s="25">
        <f>G192*D192</f>
        <v/>
      </c>
      <c r="I192" s="25" t="n">
        <v>45</v>
      </c>
      <c r="J192" s="25" t="n">
        <v>31.5</v>
      </c>
      <c r="K192" s="37" t="n">
        <v>0</v>
      </c>
      <c r="L192" s="37" t="n">
        <v>48.71</v>
      </c>
      <c r="M192" s="37" t="n"/>
      <c r="N192" s="10">
        <f>G192*2400+K192+L192+M192</f>
        <v/>
      </c>
      <c r="O192" s="10">
        <f>(K192+M192)/G192</f>
        <v/>
      </c>
      <c r="P192" s="10">
        <f>L192/G192</f>
        <v/>
      </c>
      <c r="Q192" s="10">
        <f>N192*D192/1000</f>
        <v/>
      </c>
      <c r="R192" s="11">
        <f>K192*D192/1000</f>
        <v/>
      </c>
      <c r="S192" s="11">
        <f>L192*D192/1000</f>
        <v/>
      </c>
    </row>
    <row r="193" ht="46.5" customHeight="1">
      <c r="A193" s="25" t="inlineStr">
        <is>
          <t>LAJE</t>
        </is>
      </c>
      <c r="B193" s="25" t="inlineStr">
        <is>
          <t>L-4114</t>
        </is>
      </c>
      <c r="C193" s="25" t="inlineStr">
        <is>
          <t>L4114-FORMA E ARMAÇÃO-R00</t>
        </is>
      </c>
      <c r="D193" s="25" t="n">
        <v>1</v>
      </c>
      <c r="E193" s="25" t="inlineStr">
        <is>
          <t>21x125</t>
        </is>
      </c>
      <c r="F193" s="25" t="n">
        <v>1025</v>
      </c>
      <c r="G193" s="25" t="n">
        <v>1.51</v>
      </c>
      <c r="H193" s="25">
        <f>G193*D193</f>
        <v/>
      </c>
      <c r="I193" s="25" t="n">
        <v>45</v>
      </c>
      <c r="J193" s="25" t="n">
        <v>31.5</v>
      </c>
      <c r="K193" s="37" t="n">
        <v>0</v>
      </c>
      <c r="L193" s="37" t="n">
        <v>48.71</v>
      </c>
      <c r="M193" s="37" t="n"/>
      <c r="N193" s="10">
        <f>G193*2400+K193+L193+M193</f>
        <v/>
      </c>
      <c r="O193" s="10">
        <f>(K193+M193)/G193</f>
        <v/>
      </c>
      <c r="P193" s="10">
        <f>L193/G193</f>
        <v/>
      </c>
      <c r="Q193" s="10">
        <f>N193*D193/1000</f>
        <v/>
      </c>
      <c r="R193" s="11">
        <f>K193*D193/1000</f>
        <v/>
      </c>
      <c r="S193" s="11">
        <f>L193*D193/1000</f>
        <v/>
      </c>
    </row>
    <row r="194" ht="46.5" customHeight="1">
      <c r="A194" s="25" t="inlineStr">
        <is>
          <t>LAJE</t>
        </is>
      </c>
      <c r="B194" s="25" t="inlineStr">
        <is>
          <t>L-4115</t>
        </is>
      </c>
      <c r="C194" s="25" t="inlineStr">
        <is>
          <t>L4115-FORMA E ARMAÇÃO-R00</t>
        </is>
      </c>
      <c r="D194" s="25" t="n">
        <v>1</v>
      </c>
      <c r="E194" s="25" t="inlineStr">
        <is>
          <t>21x125</t>
        </is>
      </c>
      <c r="F194" s="25" t="n">
        <v>1025</v>
      </c>
      <c r="G194" s="25" t="n">
        <v>1.52</v>
      </c>
      <c r="H194" s="25">
        <f>G194*D194</f>
        <v/>
      </c>
      <c r="I194" s="25" t="n">
        <v>45</v>
      </c>
      <c r="J194" s="25" t="n">
        <v>31.5</v>
      </c>
      <c r="K194" s="37" t="n">
        <v>0</v>
      </c>
      <c r="L194" s="37" t="n">
        <v>48.71</v>
      </c>
      <c r="M194" s="37" t="n"/>
      <c r="N194" s="10">
        <f>G194*2400+K194+L194+M194</f>
        <v/>
      </c>
      <c r="O194" s="10">
        <f>(K194+M194)/G194</f>
        <v/>
      </c>
      <c r="P194" s="10">
        <f>L194/G194</f>
        <v/>
      </c>
      <c r="Q194" s="10">
        <f>N194*D194/1000</f>
        <v/>
      </c>
      <c r="R194" s="11">
        <f>K194*D194/1000</f>
        <v/>
      </c>
      <c r="S194" s="11">
        <f>L194*D194/1000</f>
        <v/>
      </c>
    </row>
    <row r="195" ht="46.5" customHeight="1">
      <c r="A195" s="25" t="inlineStr">
        <is>
          <t>LAJE</t>
        </is>
      </c>
      <c r="B195" s="25" t="inlineStr">
        <is>
          <t>L-5000</t>
        </is>
      </c>
      <c r="C195" s="25" t="inlineStr">
        <is>
          <t>L5000-FORMA E ARMAÇÃO-R00</t>
        </is>
      </c>
      <c r="D195" s="25" t="n">
        <v>1</v>
      </c>
      <c r="E195" s="25" t="inlineStr">
        <is>
          <t>16x125</t>
        </is>
      </c>
      <c r="F195" s="25" t="n">
        <v>439</v>
      </c>
      <c r="G195" s="25" t="n">
        <v>0.54</v>
      </c>
      <c r="H195" s="25">
        <f>G195*D195</f>
        <v/>
      </c>
      <c r="I195" s="25" t="n">
        <v>45</v>
      </c>
      <c r="J195" s="25" t="n">
        <v>31.5</v>
      </c>
      <c r="K195" s="37" t="n">
        <v>0</v>
      </c>
      <c r="L195" s="37" t="n">
        <v>13.55</v>
      </c>
      <c r="M195" s="37" t="n"/>
      <c r="N195" s="10">
        <f>G195*2400+K195+L195+M195</f>
        <v/>
      </c>
      <c r="O195" s="10">
        <f>(K195+M195)/G195</f>
        <v/>
      </c>
      <c r="P195" s="10">
        <f>L195/G195</f>
        <v/>
      </c>
      <c r="Q195" s="10">
        <f>N195*D195/1000</f>
        <v/>
      </c>
      <c r="R195" s="11">
        <f>K195*D195/1000</f>
        <v/>
      </c>
      <c r="S195" s="11">
        <f>L195*D195/1000</f>
        <v/>
      </c>
    </row>
    <row r="196" ht="46.5" customHeight="1">
      <c r="A196" s="25" t="inlineStr">
        <is>
          <t>LAJE</t>
        </is>
      </c>
      <c r="B196" s="25" t="inlineStr">
        <is>
          <t>L-5001 = L-5006</t>
        </is>
      </c>
      <c r="C196" s="25" t="inlineStr">
        <is>
          <t>L5001=L5006-FORMA E ARMAÇÃO-R00</t>
        </is>
      </c>
      <c r="D196" s="25" t="n">
        <v>16</v>
      </c>
      <c r="E196" s="25" t="inlineStr">
        <is>
          <t>16x125</t>
        </is>
      </c>
      <c r="F196" s="25" t="n">
        <v>439</v>
      </c>
      <c r="G196" s="25" t="n">
        <v>0.54</v>
      </c>
      <c r="H196" s="25">
        <f>G196*D196</f>
        <v/>
      </c>
      <c r="I196" s="25" t="n">
        <v>45</v>
      </c>
      <c r="J196" s="25" t="n">
        <v>31.5</v>
      </c>
      <c r="K196" s="37" t="n">
        <v>0</v>
      </c>
      <c r="L196" s="37" t="n">
        <v>13.55</v>
      </c>
      <c r="M196" s="37" t="n"/>
      <c r="N196" s="10">
        <f>G196*2400+K196+L196+M196</f>
        <v/>
      </c>
      <c r="O196" s="10">
        <f>(K196+M196)/G196</f>
        <v/>
      </c>
      <c r="P196" s="10">
        <f>L196/G196</f>
        <v/>
      </c>
      <c r="Q196" s="10">
        <f>N196*D196/1000</f>
        <v/>
      </c>
      <c r="R196" s="11">
        <f>K196*D196/1000</f>
        <v/>
      </c>
      <c r="S196" s="11">
        <f>L196*D196/1000</f>
        <v/>
      </c>
    </row>
    <row r="197" ht="46.5" customHeight="1">
      <c r="A197" s="25" t="inlineStr">
        <is>
          <t>LAJE</t>
        </is>
      </c>
      <c r="B197" s="25" t="inlineStr">
        <is>
          <t>L-5002</t>
        </is>
      </c>
      <c r="C197" s="25" t="inlineStr">
        <is>
          <t>L5002-FORMA E ARMAÇÃO-R00</t>
        </is>
      </c>
      <c r="D197" s="25" t="n">
        <v>1</v>
      </c>
      <c r="E197" s="25" t="inlineStr">
        <is>
          <t>16x125</t>
        </is>
      </c>
      <c r="F197" s="25" t="n">
        <v>439</v>
      </c>
      <c r="G197" s="25" t="n">
        <v>0.54</v>
      </c>
      <c r="H197" s="25">
        <f>G197*D197</f>
        <v/>
      </c>
      <c r="I197" s="25" t="n">
        <v>45</v>
      </c>
      <c r="J197" s="25" t="n">
        <v>31.5</v>
      </c>
      <c r="K197" s="37" t="n">
        <v>0</v>
      </c>
      <c r="L197" s="37" t="n">
        <v>13.55</v>
      </c>
      <c r="M197" s="37" t="n"/>
      <c r="N197" s="10">
        <f>G197*2400+K197+L197+M197</f>
        <v/>
      </c>
      <c r="O197" s="10">
        <f>(K197+M197)/G197</f>
        <v/>
      </c>
      <c r="P197" s="10">
        <f>L197/G197</f>
        <v/>
      </c>
      <c r="Q197" s="10">
        <f>N197*D197/1000</f>
        <v/>
      </c>
      <c r="R197" s="11">
        <f>K197*D197/1000</f>
        <v/>
      </c>
      <c r="S197" s="11">
        <f>L197*D197/1000</f>
        <v/>
      </c>
    </row>
    <row r="198" ht="46.5" customHeight="1">
      <c r="A198" s="25" t="inlineStr">
        <is>
          <t>LAJE</t>
        </is>
      </c>
      <c r="B198" s="25" t="inlineStr">
        <is>
          <t>L-5003</t>
        </is>
      </c>
      <c r="C198" s="25" t="inlineStr">
        <is>
          <t>L5003-FORMA E ARMAÇÃO-R00</t>
        </is>
      </c>
      <c r="D198" s="25" t="n">
        <v>1</v>
      </c>
      <c r="E198" s="25" t="inlineStr">
        <is>
          <t>16x125</t>
        </is>
      </c>
      <c r="F198" s="25" t="n">
        <v>439</v>
      </c>
      <c r="G198" s="25" t="n">
        <v>0.54</v>
      </c>
      <c r="H198" s="25">
        <f>G198*D198</f>
        <v/>
      </c>
      <c r="I198" s="25" t="n">
        <v>45</v>
      </c>
      <c r="J198" s="25" t="n">
        <v>31.5</v>
      </c>
      <c r="K198" s="37" t="n">
        <v>0</v>
      </c>
      <c r="L198" s="37" t="n">
        <v>13.55</v>
      </c>
      <c r="M198" s="37" t="n"/>
      <c r="N198" s="10">
        <f>G198*2400+K198+L198+M198</f>
        <v/>
      </c>
      <c r="O198" s="10">
        <f>(K198+M198)/G198</f>
        <v/>
      </c>
      <c r="P198" s="10">
        <f>L198/G198</f>
        <v/>
      </c>
      <c r="Q198" s="10">
        <f>N198*D198/1000</f>
        <v/>
      </c>
      <c r="R198" s="11">
        <f>K198*D198/1000</f>
        <v/>
      </c>
      <c r="S198" s="11">
        <f>L198*D198/1000</f>
        <v/>
      </c>
    </row>
    <row r="199" ht="46.5" customHeight="1">
      <c r="A199" s="25" t="inlineStr">
        <is>
          <t>LAJE</t>
        </is>
      </c>
      <c r="B199" s="25" t="inlineStr">
        <is>
          <t>L-5004</t>
        </is>
      </c>
      <c r="C199" s="25" t="inlineStr">
        <is>
          <t>L5004-FORMA E ARMAÇÃO-R00</t>
        </is>
      </c>
      <c r="D199" s="25" t="n">
        <v>1</v>
      </c>
      <c r="E199" s="25" t="inlineStr">
        <is>
          <t>16x125</t>
        </is>
      </c>
      <c r="F199" s="25" t="n">
        <v>439</v>
      </c>
      <c r="G199" s="25" t="n">
        <v>0.54</v>
      </c>
      <c r="H199" s="25">
        <f>G199*D199</f>
        <v/>
      </c>
      <c r="I199" s="25" t="n">
        <v>45</v>
      </c>
      <c r="J199" s="25" t="n">
        <v>31.5</v>
      </c>
      <c r="K199" s="37" t="n">
        <v>0</v>
      </c>
      <c r="L199" s="37" t="n">
        <v>13.55</v>
      </c>
      <c r="M199" s="37" t="n"/>
      <c r="N199" s="10">
        <f>G199*2400+K199+L199+M199</f>
        <v/>
      </c>
      <c r="O199" s="10">
        <f>(K199+M199)/G199</f>
        <v/>
      </c>
      <c r="P199" s="10">
        <f>L199/G199</f>
        <v/>
      </c>
      <c r="Q199" s="10">
        <f>N199*D199/1000</f>
        <v/>
      </c>
      <c r="R199" s="11">
        <f>K199*D199/1000</f>
        <v/>
      </c>
      <c r="S199" s="11">
        <f>L199*D199/1000</f>
        <v/>
      </c>
    </row>
    <row r="200" ht="46.5" customHeight="1">
      <c r="A200" s="25" t="inlineStr">
        <is>
          <t>LAJE</t>
        </is>
      </c>
      <c r="B200" s="25" t="inlineStr">
        <is>
          <t>L-5005</t>
        </is>
      </c>
      <c r="C200" s="25" t="inlineStr">
        <is>
          <t>L5005-FORMA E ARMAÇÃO-R00</t>
        </is>
      </c>
      <c r="D200" s="25" t="n">
        <v>1</v>
      </c>
      <c r="E200" s="25" t="inlineStr">
        <is>
          <t>16x125</t>
        </is>
      </c>
      <c r="F200" s="25" t="n">
        <v>439</v>
      </c>
      <c r="G200" s="25" t="n">
        <v>0.54</v>
      </c>
      <c r="H200" s="25">
        <f>G200*D200</f>
        <v/>
      </c>
      <c r="I200" s="25" t="n">
        <v>45</v>
      </c>
      <c r="J200" s="25" t="n">
        <v>31.5</v>
      </c>
      <c r="K200" s="37" t="n">
        <v>0</v>
      </c>
      <c r="L200" s="37" t="n">
        <v>13.55</v>
      </c>
      <c r="M200" s="37" t="n"/>
      <c r="N200" s="10">
        <f>G200*2400+K200+L200+M200</f>
        <v/>
      </c>
      <c r="O200" s="10">
        <f>(K200+M200)/G200</f>
        <v/>
      </c>
      <c r="P200" s="10">
        <f>L200/G200</f>
        <v/>
      </c>
      <c r="Q200" s="10">
        <f>N200*D200/1000</f>
        <v/>
      </c>
      <c r="R200" s="11">
        <f>K200*D200/1000</f>
        <v/>
      </c>
      <c r="S200" s="11">
        <f>L200*D200/1000</f>
        <v/>
      </c>
    </row>
    <row r="201" ht="46.5" customHeight="1">
      <c r="A201" s="25" t="inlineStr">
        <is>
          <t>LAJE</t>
        </is>
      </c>
      <c r="B201" s="25" t="inlineStr">
        <is>
          <t>L-5007</t>
        </is>
      </c>
      <c r="C201" s="25" t="inlineStr">
        <is>
          <t>L5007-FORMA E ARMAÇÃO-R00</t>
        </is>
      </c>
      <c r="D201" s="25" t="n">
        <v>1</v>
      </c>
      <c r="E201" s="25" t="inlineStr">
        <is>
          <t>16x125</t>
        </is>
      </c>
      <c r="F201" s="25" t="n">
        <v>439</v>
      </c>
      <c r="G201" s="25" t="n">
        <v>0.54</v>
      </c>
      <c r="H201" s="25">
        <f>G201*D201</f>
        <v/>
      </c>
      <c r="I201" s="25" t="n">
        <v>45</v>
      </c>
      <c r="J201" s="25" t="n">
        <v>31.5</v>
      </c>
      <c r="K201" s="37" t="n">
        <v>0</v>
      </c>
      <c r="L201" s="37" t="n">
        <v>13.55</v>
      </c>
      <c r="M201" s="37" t="n"/>
      <c r="N201" s="10">
        <f>G201*2400+K201+L201+M201</f>
        <v/>
      </c>
      <c r="O201" s="10">
        <f>(K201+M201)/G201</f>
        <v/>
      </c>
      <c r="P201" s="10">
        <f>L201/G201</f>
        <v/>
      </c>
      <c r="Q201" s="10">
        <f>N201*D201/1000</f>
        <v/>
      </c>
      <c r="R201" s="11">
        <f>K201*D201/1000</f>
        <v/>
      </c>
      <c r="S201" s="11">
        <f>L201*D201/1000</f>
        <v/>
      </c>
    </row>
    <row r="202" ht="46.5" customHeight="1">
      <c r="A202" s="25" t="inlineStr">
        <is>
          <t>LAJE</t>
        </is>
      </c>
      <c r="B202" s="25" t="inlineStr">
        <is>
          <t>L-5008</t>
        </is>
      </c>
      <c r="C202" s="25" t="inlineStr">
        <is>
          <t>L5008-FORMA E ARMAÇÃO-R00</t>
        </is>
      </c>
      <c r="D202" s="25" t="n">
        <v>1</v>
      </c>
      <c r="E202" s="25" t="inlineStr">
        <is>
          <t>16x81</t>
        </is>
      </c>
      <c r="F202" s="25" t="n">
        <v>439</v>
      </c>
      <c r="G202" s="25" t="n">
        <v>0.35</v>
      </c>
      <c r="H202" s="25">
        <f>G202*D202</f>
        <v/>
      </c>
      <c r="I202" s="25" t="n">
        <v>45</v>
      </c>
      <c r="J202" s="25" t="n">
        <v>31.5</v>
      </c>
      <c r="K202" s="37" t="n">
        <v>0</v>
      </c>
      <c r="L202" s="37" t="n">
        <v>13.55</v>
      </c>
      <c r="M202" s="37" t="n"/>
      <c r="N202" s="10">
        <f>G202*2400+K202+L202+M202</f>
        <v/>
      </c>
      <c r="O202" s="10">
        <f>(K202+M202)/G202</f>
        <v/>
      </c>
      <c r="P202" s="10">
        <f>L202/G202</f>
        <v/>
      </c>
      <c r="Q202" s="10">
        <f>N202*D202/1000</f>
        <v/>
      </c>
      <c r="R202" s="11">
        <f>K202*D202/1000</f>
        <v/>
      </c>
      <c r="S202" s="11">
        <f>L202*D202/1000</f>
        <v/>
      </c>
    </row>
    <row r="203" ht="46.5" customHeight="1">
      <c r="A203" s="25" t="inlineStr">
        <is>
          <t>LAJE</t>
        </is>
      </c>
      <c r="B203" s="25" t="inlineStr">
        <is>
          <t>L-5009</t>
        </is>
      </c>
      <c r="C203" s="25" t="inlineStr">
        <is>
          <t>L5009-FORMA E ARMAÇÃO-R00</t>
        </is>
      </c>
      <c r="D203" s="25" t="n">
        <v>1</v>
      </c>
      <c r="E203" s="25" t="inlineStr">
        <is>
          <t>16x125</t>
        </is>
      </c>
      <c r="F203" s="25" t="n">
        <v>439</v>
      </c>
      <c r="G203" s="25" t="n">
        <v>0.53</v>
      </c>
      <c r="H203" s="25">
        <f>G203*D203</f>
        <v/>
      </c>
      <c r="I203" s="25" t="n">
        <v>45</v>
      </c>
      <c r="J203" s="25" t="n">
        <v>31.5</v>
      </c>
      <c r="K203" s="37" t="n">
        <v>0</v>
      </c>
      <c r="L203" s="37" t="n">
        <v>13.55</v>
      </c>
      <c r="M203" s="37" t="n"/>
      <c r="N203" s="10">
        <f>G203*2400+K203+L203+M203</f>
        <v/>
      </c>
      <c r="O203" s="10">
        <f>(K203+M203)/G203</f>
        <v/>
      </c>
      <c r="P203" s="10">
        <f>L203/G203</f>
        <v/>
      </c>
      <c r="Q203" s="10">
        <f>N203*D203/1000</f>
        <v/>
      </c>
      <c r="R203" s="11">
        <f>K203*D203/1000</f>
        <v/>
      </c>
      <c r="S203" s="11">
        <f>L203*D203/1000</f>
        <v/>
      </c>
    </row>
    <row r="204" ht="46.5" customHeight="1">
      <c r="A204" s="25" t="inlineStr">
        <is>
          <t>LAJE</t>
        </is>
      </c>
      <c r="B204" s="25" t="inlineStr">
        <is>
          <t>L-5010</t>
        </is>
      </c>
      <c r="C204" s="25" t="inlineStr">
        <is>
          <t>L5010-FORMA E ARMAÇÃO-R00</t>
        </is>
      </c>
      <c r="D204" s="25" t="n">
        <v>20</v>
      </c>
      <c r="E204" s="25" t="inlineStr">
        <is>
          <t>16x125</t>
        </is>
      </c>
      <c r="F204" s="25" t="n">
        <v>632</v>
      </c>
      <c r="G204" s="25" t="n">
        <v>0.78</v>
      </c>
      <c r="H204" s="25">
        <f>G204*D204</f>
        <v/>
      </c>
      <c r="I204" s="25" t="n">
        <v>45</v>
      </c>
      <c r="J204" s="25" t="n">
        <v>31.5</v>
      </c>
      <c r="K204" s="37" t="n">
        <v>0</v>
      </c>
      <c r="L204" s="37" t="n">
        <v>19.51</v>
      </c>
      <c r="M204" s="37" t="n"/>
      <c r="N204" s="10">
        <f>G204*2400+K204+L204+M204</f>
        <v/>
      </c>
      <c r="O204" s="10">
        <f>(K204+M204)/G204</f>
        <v/>
      </c>
      <c r="P204" s="10">
        <f>L204/G204</f>
        <v/>
      </c>
      <c r="Q204" s="10">
        <f>N204*D204/1000</f>
        <v/>
      </c>
      <c r="R204" s="11">
        <f>K204*D204/1000</f>
        <v/>
      </c>
      <c r="S204" s="11">
        <f>L204*D204/1000</f>
        <v/>
      </c>
    </row>
    <row r="205" ht="46.5" customHeight="1">
      <c r="A205" s="25" t="inlineStr">
        <is>
          <t>LAJE</t>
        </is>
      </c>
      <c r="B205" s="25" t="inlineStr">
        <is>
          <t>L-5011</t>
        </is>
      </c>
      <c r="C205" s="25" t="inlineStr">
        <is>
          <t>L5011-FORMA E ARMAÇÃO-R00</t>
        </is>
      </c>
      <c r="D205" s="25" t="n">
        <v>1</v>
      </c>
      <c r="E205" s="25" t="inlineStr">
        <is>
          <t>16x84</t>
        </is>
      </c>
      <c r="F205" s="25" t="n">
        <v>632</v>
      </c>
      <c r="G205" s="25" t="n">
        <v>0.52</v>
      </c>
      <c r="H205" s="25">
        <f>G205*D205</f>
        <v/>
      </c>
      <c r="I205" s="25" t="n">
        <v>45</v>
      </c>
      <c r="J205" s="25" t="n">
        <v>31.5</v>
      </c>
      <c r="K205" s="37" t="n">
        <v>0</v>
      </c>
      <c r="L205" s="37" t="n">
        <v>19.51</v>
      </c>
      <c r="M205" s="37" t="n"/>
      <c r="N205" s="10">
        <f>G205*2400+K205+L205+M205</f>
        <v/>
      </c>
      <c r="O205" s="10">
        <f>(K205+M205)/G205</f>
        <v/>
      </c>
      <c r="P205" s="10">
        <f>L205/G205</f>
        <v/>
      </c>
      <c r="Q205" s="10">
        <f>N205*D205/1000</f>
        <v/>
      </c>
      <c r="R205" s="11">
        <f>K205*D205/1000</f>
        <v/>
      </c>
      <c r="S205" s="11">
        <f>L205*D205/1000</f>
        <v/>
      </c>
    </row>
    <row r="206" ht="46.5" customHeight="1">
      <c r="A206" s="25" t="inlineStr">
        <is>
          <t>LAJE</t>
        </is>
      </c>
      <c r="B206" s="25" t="inlineStr">
        <is>
          <t>L-5012</t>
        </is>
      </c>
      <c r="C206" s="25" t="inlineStr">
        <is>
          <t>L5012-FORMA E ARMAÇÃO-R00</t>
        </is>
      </c>
      <c r="D206" s="25" t="n">
        <v>1</v>
      </c>
      <c r="E206" s="25" t="inlineStr">
        <is>
          <t>16x70</t>
        </is>
      </c>
      <c r="F206" s="25" t="n">
        <v>632</v>
      </c>
      <c r="G206" s="25" t="n">
        <v>0.43</v>
      </c>
      <c r="H206" s="25">
        <f>G206*D206</f>
        <v/>
      </c>
      <c r="I206" s="25" t="n">
        <v>45</v>
      </c>
      <c r="J206" s="25" t="n">
        <v>31.5</v>
      </c>
      <c r="K206" s="37" t="n">
        <v>0</v>
      </c>
      <c r="L206" s="37" t="n">
        <v>19.51</v>
      </c>
      <c r="M206" s="37" t="n"/>
      <c r="N206" s="10">
        <f>G206*2400+K206+L206+M206</f>
        <v/>
      </c>
      <c r="O206" s="10">
        <f>(K206+M206)/G206</f>
        <v/>
      </c>
      <c r="P206" s="10">
        <f>L206/G206</f>
        <v/>
      </c>
      <c r="Q206" s="10">
        <f>N206*D206/1000</f>
        <v/>
      </c>
      <c r="R206" s="11">
        <f>K206*D206/1000</f>
        <v/>
      </c>
      <c r="S206" s="11">
        <f>L206*D206/1000</f>
        <v/>
      </c>
    </row>
    <row r="207" ht="46.5" customHeight="1">
      <c r="A207" s="25" t="inlineStr">
        <is>
          <t>LAJE</t>
        </is>
      </c>
      <c r="B207" s="25" t="inlineStr">
        <is>
          <t>L-5013</t>
        </is>
      </c>
      <c r="C207" s="25" t="inlineStr">
        <is>
          <t>L5013-FORMA E ARMAÇÃO-R00</t>
        </is>
      </c>
      <c r="D207" s="25" t="n">
        <v>1</v>
      </c>
      <c r="E207" s="25" t="inlineStr">
        <is>
          <t>16x125</t>
        </is>
      </c>
      <c r="F207" s="25" t="n">
        <v>632</v>
      </c>
      <c r="G207" s="25" t="n">
        <v>0.77</v>
      </c>
      <c r="H207" s="25">
        <f>G207*D207</f>
        <v/>
      </c>
      <c r="I207" s="25" t="n">
        <v>45</v>
      </c>
      <c r="J207" s="25" t="n">
        <v>31.5</v>
      </c>
      <c r="K207" s="37" t="n">
        <v>0</v>
      </c>
      <c r="L207" s="37" t="n">
        <v>19.51</v>
      </c>
      <c r="M207" s="37" t="n"/>
      <c r="N207" s="10">
        <f>G207*2400+K207+L207+M207</f>
        <v/>
      </c>
      <c r="O207" s="10">
        <f>(K207+M207)/G207</f>
        <v/>
      </c>
      <c r="P207" s="10">
        <f>L207/G207</f>
        <v/>
      </c>
      <c r="Q207" s="10">
        <f>N207*D207/1000</f>
        <v/>
      </c>
      <c r="R207" s="11">
        <f>K207*D207/1000</f>
        <v/>
      </c>
      <c r="S207" s="11">
        <f>L207*D207/1000</f>
        <v/>
      </c>
    </row>
    <row r="208" ht="46.5" customHeight="1">
      <c r="A208" s="25" t="inlineStr">
        <is>
          <t>LAJE</t>
        </is>
      </c>
      <c r="B208" s="25" t="inlineStr">
        <is>
          <t>L-5015</t>
        </is>
      </c>
      <c r="C208" s="25" t="inlineStr">
        <is>
          <t>L5015-FORMA E ARMAÇÃO-R00</t>
        </is>
      </c>
      <c r="D208" s="25" t="n">
        <v>12</v>
      </c>
      <c r="E208" s="25" t="inlineStr">
        <is>
          <t>16x125</t>
        </is>
      </c>
      <c r="F208" s="25" t="n">
        <v>573.5</v>
      </c>
      <c r="G208" s="25" t="n">
        <v>0.71</v>
      </c>
      <c r="H208" s="25">
        <f>G208*D208</f>
        <v/>
      </c>
      <c r="I208" s="25" t="n">
        <v>45</v>
      </c>
      <c r="J208" s="25" t="n">
        <v>31.5</v>
      </c>
      <c r="K208" s="37" t="n">
        <v>0</v>
      </c>
      <c r="L208" s="37" t="n">
        <v>17.7</v>
      </c>
      <c r="M208" s="37" t="n"/>
      <c r="N208" s="10">
        <f>G208*2400+K208+L208+M208</f>
        <v/>
      </c>
      <c r="O208" s="10">
        <f>(K208+M208)/G208</f>
        <v/>
      </c>
      <c r="P208" s="10">
        <f>L208/G208</f>
        <v/>
      </c>
      <c r="Q208" s="10">
        <f>N208*D208/1000</f>
        <v/>
      </c>
      <c r="R208" s="11">
        <f>K208*D208/1000</f>
        <v/>
      </c>
      <c r="S208" s="11">
        <f>L208*D208/1000</f>
        <v/>
      </c>
    </row>
    <row r="209" ht="46.5" customHeight="1">
      <c r="A209" s="25" t="inlineStr">
        <is>
          <t>LAJE</t>
        </is>
      </c>
      <c r="B209" s="25" t="inlineStr">
        <is>
          <t>L-5015A</t>
        </is>
      </c>
      <c r="C209" s="25" t="inlineStr">
        <is>
          <t>L5015A-FORMA E ARMAÇÃO-R00</t>
        </is>
      </c>
      <c r="D209" s="25" t="n">
        <v>7</v>
      </c>
      <c r="E209" s="25" t="inlineStr">
        <is>
          <t>16x125</t>
        </is>
      </c>
      <c r="F209" s="25" t="n">
        <v>589</v>
      </c>
      <c r="G209" s="25" t="n">
        <v>0.73</v>
      </c>
      <c r="H209" s="25">
        <f>G209*D209</f>
        <v/>
      </c>
      <c r="I209" s="25" t="n">
        <v>45</v>
      </c>
      <c r="J209" s="25" t="n">
        <v>31.5</v>
      </c>
      <c r="K209" s="37" t="n">
        <v>0</v>
      </c>
      <c r="L209" s="37" t="n">
        <v>18.18</v>
      </c>
      <c r="M209" s="37" t="n"/>
      <c r="N209" s="10">
        <f>G209*2400+K209+L209+M209</f>
        <v/>
      </c>
      <c r="O209" s="10">
        <f>(K209+M209)/G209</f>
        <v/>
      </c>
      <c r="P209" s="10">
        <f>L209/G209</f>
        <v/>
      </c>
      <c r="Q209" s="10">
        <f>N209*D209/1000</f>
        <v/>
      </c>
      <c r="R209" s="11">
        <f>K209*D209/1000</f>
        <v/>
      </c>
      <c r="S209" s="11">
        <f>L209*D209/1000</f>
        <v/>
      </c>
    </row>
    <row r="210" ht="46.5" customHeight="1">
      <c r="A210" s="25" t="inlineStr">
        <is>
          <t>LAJE</t>
        </is>
      </c>
      <c r="B210" s="25" t="inlineStr">
        <is>
          <t>L-5016</t>
        </is>
      </c>
      <c r="C210" s="25" t="inlineStr">
        <is>
          <t>L5016-FORMA E ARMAÇÃO-R00</t>
        </is>
      </c>
      <c r="D210" s="25" t="n">
        <v>1</v>
      </c>
      <c r="E210" s="25" t="inlineStr">
        <is>
          <t>16x67</t>
        </is>
      </c>
      <c r="F210" s="25" t="n">
        <v>573.5</v>
      </c>
      <c r="G210" s="25" t="n">
        <v>0.38</v>
      </c>
      <c r="H210" s="25">
        <f>G210*D210</f>
        <v/>
      </c>
      <c r="I210" s="25" t="n">
        <v>45</v>
      </c>
      <c r="J210" s="25" t="n">
        <v>31.5</v>
      </c>
      <c r="K210" s="37" t="n">
        <v>0</v>
      </c>
      <c r="L210" s="37" t="n">
        <v>17.7</v>
      </c>
      <c r="M210" s="37" t="n"/>
      <c r="N210" s="10">
        <f>G210*2400+K210+L210+M210</f>
        <v/>
      </c>
      <c r="O210" s="10">
        <f>(K210+M210)/G210</f>
        <v/>
      </c>
      <c r="P210" s="10">
        <f>L210/G210</f>
        <v/>
      </c>
      <c r="Q210" s="10">
        <f>N210*D210/1000</f>
        <v/>
      </c>
      <c r="R210" s="11">
        <f>K210*D210/1000</f>
        <v/>
      </c>
      <c r="S210" s="11">
        <f>L210*D210/1000</f>
        <v/>
      </c>
    </row>
    <row r="211" ht="46.5" customHeight="1">
      <c r="A211" s="25" t="inlineStr">
        <is>
          <t>LAJE</t>
        </is>
      </c>
      <c r="B211" s="25" t="inlineStr">
        <is>
          <t>L-5019</t>
        </is>
      </c>
      <c r="C211" s="25" t="inlineStr">
        <is>
          <t>L5019-FORMA E ARMAÇÃO-R00</t>
        </is>
      </c>
      <c r="D211" s="25" t="n">
        <v>1</v>
      </c>
      <c r="E211" s="25" t="inlineStr">
        <is>
          <t>16x79,5</t>
        </is>
      </c>
      <c r="F211" s="25" t="n">
        <v>573.5</v>
      </c>
      <c r="G211" s="25" t="n">
        <v>0.45</v>
      </c>
      <c r="H211" s="25">
        <f>G211*D211</f>
        <v/>
      </c>
      <c r="I211" s="25" t="n">
        <v>45</v>
      </c>
      <c r="J211" s="25" t="n">
        <v>31.5</v>
      </c>
      <c r="K211" s="37" t="n">
        <v>0</v>
      </c>
      <c r="L211" s="37" t="n">
        <v>17.7</v>
      </c>
      <c r="M211" s="37" t="n"/>
      <c r="N211" s="10">
        <f>G211*2400+K211+L211+M211</f>
        <v/>
      </c>
      <c r="O211" s="10">
        <f>(K211+M211)/G211</f>
        <v/>
      </c>
      <c r="P211" s="10">
        <f>L211/G211</f>
        <v/>
      </c>
      <c r="Q211" s="10">
        <f>N211*D211/1000</f>
        <v/>
      </c>
      <c r="R211" s="11">
        <f>K211*D211/1000</f>
        <v/>
      </c>
      <c r="S211" s="11">
        <f>L211*D211/1000</f>
        <v/>
      </c>
    </row>
    <row r="212" ht="46.5" customHeight="1">
      <c r="A212" s="25" t="inlineStr">
        <is>
          <t>LAJE</t>
        </is>
      </c>
      <c r="B212" s="25" t="inlineStr">
        <is>
          <t>L-5020</t>
        </is>
      </c>
      <c r="C212" s="25" t="inlineStr">
        <is>
          <t>L5020-FORMA E ARMAÇÃO-R00</t>
        </is>
      </c>
      <c r="D212" s="25" t="n">
        <v>1</v>
      </c>
      <c r="E212" s="25" t="inlineStr">
        <is>
          <t>16x125</t>
        </is>
      </c>
      <c r="F212" s="25" t="n">
        <v>573.5</v>
      </c>
      <c r="G212" s="25" t="n">
        <v>0.71</v>
      </c>
      <c r="H212" s="25">
        <f>G212*D212</f>
        <v/>
      </c>
      <c r="I212" s="25" t="n">
        <v>45</v>
      </c>
      <c r="J212" s="25" t="n">
        <v>31.5</v>
      </c>
      <c r="K212" s="37" t="n">
        <v>0</v>
      </c>
      <c r="L212" s="37" t="n">
        <v>17.7</v>
      </c>
      <c r="M212" s="37" t="n"/>
      <c r="N212" s="10">
        <f>G212*2400+K212+L212+M212</f>
        <v/>
      </c>
      <c r="O212" s="10">
        <f>(K212+M212)/G212</f>
        <v/>
      </c>
      <c r="P212" s="10">
        <f>L212/G212</f>
        <v/>
      </c>
      <c r="Q212" s="10">
        <f>N212*D212/1000</f>
        <v/>
      </c>
      <c r="R212" s="11">
        <f>K212*D212/1000</f>
        <v/>
      </c>
      <c r="S212" s="11">
        <f>L212*D212/1000</f>
        <v/>
      </c>
    </row>
    <row r="213" ht="46.5" customHeight="1">
      <c r="A213" s="25" t="inlineStr">
        <is>
          <t>LAJE</t>
        </is>
      </c>
      <c r="B213" s="25" t="inlineStr">
        <is>
          <t>L-5022</t>
        </is>
      </c>
      <c r="C213" s="25" t="inlineStr">
        <is>
          <t>L5022-FORMA E ARMAÇÃO-R00</t>
        </is>
      </c>
      <c r="D213" s="25" t="n">
        <v>1</v>
      </c>
      <c r="E213" s="25" t="inlineStr">
        <is>
          <t>16x109</t>
        </is>
      </c>
      <c r="F213" s="25" t="n">
        <v>573.5</v>
      </c>
      <c r="G213" s="25" t="n">
        <v>0.62</v>
      </c>
      <c r="H213" s="25">
        <f>G213*D213</f>
        <v/>
      </c>
      <c r="I213" s="25" t="n">
        <v>45</v>
      </c>
      <c r="J213" s="25" t="n">
        <v>31.5</v>
      </c>
      <c r="K213" s="37" t="n">
        <v>0</v>
      </c>
      <c r="L213" s="37" t="n">
        <v>17.7</v>
      </c>
      <c r="M213" s="37" t="n"/>
      <c r="N213" s="10">
        <f>G213*2400+K213+L213+M213</f>
        <v/>
      </c>
      <c r="O213" s="10">
        <f>(K213+M213)/G213</f>
        <v/>
      </c>
      <c r="P213" s="10">
        <f>L213/G213</f>
        <v/>
      </c>
      <c r="Q213" s="10">
        <f>N213*D213/1000</f>
        <v/>
      </c>
      <c r="R213" s="11">
        <f>K213*D213/1000</f>
        <v/>
      </c>
      <c r="S213" s="11">
        <f>L213*D213/1000</f>
        <v/>
      </c>
    </row>
    <row r="214" ht="46.5" customHeight="1">
      <c r="A214" s="25" t="inlineStr">
        <is>
          <t>LAJE</t>
        </is>
      </c>
      <c r="B214" s="25" t="inlineStr">
        <is>
          <t>L-5023</t>
        </is>
      </c>
      <c r="C214" s="25" t="inlineStr">
        <is>
          <t>L5023-FORMA E ARMAÇÃO-R00</t>
        </is>
      </c>
      <c r="D214" s="25" t="n">
        <v>1</v>
      </c>
      <c r="E214" s="25" t="inlineStr">
        <is>
          <t>16x65</t>
        </is>
      </c>
      <c r="F214" s="25" t="n">
        <v>573.5</v>
      </c>
      <c r="G214" s="25" t="n">
        <v>0.37</v>
      </c>
      <c r="H214" s="25">
        <f>G214*D214</f>
        <v/>
      </c>
      <c r="I214" s="25" t="n">
        <v>45</v>
      </c>
      <c r="J214" s="25" t="n">
        <v>31.5</v>
      </c>
      <c r="K214" s="37" t="n">
        <v>0</v>
      </c>
      <c r="L214" s="37" t="n">
        <v>17.7</v>
      </c>
      <c r="M214" s="37" t="n"/>
      <c r="N214" s="10">
        <f>G214*2400+K214+L214+M214</f>
        <v/>
      </c>
      <c r="O214" s="10">
        <f>(K214+M214)/G214</f>
        <v/>
      </c>
      <c r="P214" s="10">
        <f>L214/G214</f>
        <v/>
      </c>
      <c r="Q214" s="10">
        <f>N214*D214/1000</f>
        <v/>
      </c>
      <c r="R214" s="11">
        <f>K214*D214/1000</f>
        <v/>
      </c>
      <c r="S214" s="11">
        <f>L214*D214/1000</f>
        <v/>
      </c>
    </row>
    <row r="215" ht="46.5" customHeight="1">
      <c r="A215" s="25" t="inlineStr">
        <is>
          <t>LAJE</t>
        </is>
      </c>
      <c r="B215" s="25" t="inlineStr">
        <is>
          <t>L-5024</t>
        </is>
      </c>
      <c r="C215" s="25" t="inlineStr">
        <is>
          <t>L5024-FORMA E ARMAÇÃO-R00</t>
        </is>
      </c>
      <c r="D215" s="25" t="n">
        <v>1</v>
      </c>
      <c r="E215" s="25" t="inlineStr">
        <is>
          <t>16x125</t>
        </is>
      </c>
      <c r="F215" s="25" t="n">
        <v>573.5</v>
      </c>
      <c r="G215" s="25" t="n">
        <v>0.71</v>
      </c>
      <c r="H215" s="25">
        <f>G215*D215</f>
        <v/>
      </c>
      <c r="I215" s="25" t="n">
        <v>45</v>
      </c>
      <c r="J215" s="25" t="n">
        <v>31.5</v>
      </c>
      <c r="K215" s="37" t="n">
        <v>0</v>
      </c>
      <c r="L215" s="37" t="n">
        <v>17.7</v>
      </c>
      <c r="M215" s="37" t="n"/>
      <c r="N215" s="10">
        <f>G215*2400+K215+L215+M215</f>
        <v/>
      </c>
      <c r="O215" s="10">
        <f>(K215+M215)/G215</f>
        <v/>
      </c>
      <c r="P215" s="10">
        <f>L215/G215</f>
        <v/>
      </c>
      <c r="Q215" s="10">
        <f>N215*D215/1000</f>
        <v/>
      </c>
      <c r="R215" s="11">
        <f>K215*D215/1000</f>
        <v/>
      </c>
      <c r="S215" s="11">
        <f>L215*D215/1000</f>
        <v/>
      </c>
    </row>
    <row r="216" ht="46.5" customHeight="1">
      <c r="A216" s="25" t="inlineStr">
        <is>
          <t>LAJE</t>
        </is>
      </c>
      <c r="B216" s="25" t="inlineStr">
        <is>
          <t>L-5025</t>
        </is>
      </c>
      <c r="C216" s="25" t="inlineStr">
        <is>
          <t>L5025-FORMA E ARMAÇÃO-R00</t>
        </is>
      </c>
      <c r="D216" s="25" t="n">
        <v>1</v>
      </c>
      <c r="E216" s="25" t="inlineStr">
        <is>
          <t>16x125</t>
        </is>
      </c>
      <c r="F216" s="25" t="n">
        <v>573.5</v>
      </c>
      <c r="G216" s="25" t="n">
        <v>0.71</v>
      </c>
      <c r="H216" s="25">
        <f>G216*D216</f>
        <v/>
      </c>
      <c r="I216" s="25" t="n">
        <v>45</v>
      </c>
      <c r="J216" s="25" t="n">
        <v>31.5</v>
      </c>
      <c r="K216" s="37" t="n">
        <v>0</v>
      </c>
      <c r="L216" s="37" t="n">
        <v>17.7</v>
      </c>
      <c r="M216" s="37" t="n"/>
      <c r="N216" s="10">
        <f>G216*2400+K216+L216+M216</f>
        <v/>
      </c>
      <c r="O216" s="10">
        <f>(K216+M216)/G216</f>
        <v/>
      </c>
      <c r="P216" s="10">
        <f>L216/G216</f>
        <v/>
      </c>
      <c r="Q216" s="10">
        <f>N216*D216/1000</f>
        <v/>
      </c>
      <c r="R216" s="11">
        <f>K216*D216/1000</f>
        <v/>
      </c>
      <c r="S216" s="11">
        <f>L216*D216/1000</f>
        <v/>
      </c>
    </row>
    <row r="217" ht="46.5" customHeight="1">
      <c r="A217" s="25" t="inlineStr">
        <is>
          <t>LAJE</t>
        </is>
      </c>
      <c r="B217" s="25" t="inlineStr">
        <is>
          <t>L-5026</t>
        </is>
      </c>
      <c r="C217" s="25" t="inlineStr">
        <is>
          <t>L5026-FORMA E ARMAÇÃO-R00</t>
        </is>
      </c>
      <c r="D217" s="25" t="n">
        <v>1</v>
      </c>
      <c r="E217" s="25" t="inlineStr">
        <is>
          <t>16x125</t>
        </is>
      </c>
      <c r="F217" s="25" t="n">
        <v>589</v>
      </c>
      <c r="G217" s="25" t="n">
        <v>0.73</v>
      </c>
      <c r="H217" s="25">
        <f>G217*D217</f>
        <v/>
      </c>
      <c r="I217" s="25" t="n">
        <v>45</v>
      </c>
      <c r="J217" s="25" t="n">
        <v>31.5</v>
      </c>
      <c r="K217" s="37" t="n">
        <v>0</v>
      </c>
      <c r="L217" s="37" t="n">
        <v>18.18</v>
      </c>
      <c r="M217" s="37" t="n"/>
      <c r="N217" s="10">
        <f>G217*2400+K217+L217+M217</f>
        <v/>
      </c>
      <c r="O217" s="10">
        <f>(K217+M217)/G217</f>
        <v/>
      </c>
      <c r="P217" s="10">
        <f>L217/G217</f>
        <v/>
      </c>
      <c r="Q217" s="10">
        <f>N217*D217/1000</f>
        <v/>
      </c>
      <c r="R217" s="11">
        <f>K217*D217/1000</f>
        <v/>
      </c>
      <c r="S217" s="11">
        <f>L217*D217/1000</f>
        <v/>
      </c>
    </row>
    <row r="218" ht="46.5" customHeight="1">
      <c r="A218" s="25" t="inlineStr">
        <is>
          <t>LAJE</t>
        </is>
      </c>
      <c r="B218" s="25" t="inlineStr">
        <is>
          <t>L-5027</t>
        </is>
      </c>
      <c r="C218" s="25" t="inlineStr">
        <is>
          <t>L5027-FORMA E ARMAÇÃO-R00</t>
        </is>
      </c>
      <c r="D218" s="25" t="n">
        <v>1</v>
      </c>
      <c r="E218" s="25" t="inlineStr">
        <is>
          <t>16x125</t>
        </is>
      </c>
      <c r="F218" s="25" t="n">
        <v>589</v>
      </c>
      <c r="G218" s="25" t="n">
        <v>0.72</v>
      </c>
      <c r="H218" s="25">
        <f>G218*D218</f>
        <v/>
      </c>
      <c r="I218" s="25" t="n">
        <v>45</v>
      </c>
      <c r="J218" s="25" t="n">
        <v>31.5</v>
      </c>
      <c r="K218" s="37" t="n">
        <v>0</v>
      </c>
      <c r="L218" s="37" t="n">
        <v>18.18</v>
      </c>
      <c r="M218" s="37" t="n"/>
      <c r="N218" s="10">
        <f>G218*2400+K218+L218+M218</f>
        <v/>
      </c>
      <c r="O218" s="10">
        <f>(K218+M218)/G218</f>
        <v/>
      </c>
      <c r="P218" s="10">
        <f>L218/G218</f>
        <v/>
      </c>
      <c r="Q218" s="10">
        <f>N218*D218/1000</f>
        <v/>
      </c>
      <c r="R218" s="11">
        <f>K218*D218/1000</f>
        <v/>
      </c>
      <c r="S218" s="11">
        <f>L218*D218/1000</f>
        <v/>
      </c>
    </row>
    <row r="219" ht="46.5" customHeight="1">
      <c r="A219" s="25" t="inlineStr">
        <is>
          <t>LAJE</t>
        </is>
      </c>
      <c r="B219" s="25" t="inlineStr">
        <is>
          <t>L-5028</t>
        </is>
      </c>
      <c r="C219" s="25" t="inlineStr">
        <is>
          <t>L5028-FORMA E ARMAÇÃO-R00</t>
        </is>
      </c>
      <c r="D219" s="25" t="n">
        <v>1</v>
      </c>
      <c r="E219" s="25" t="inlineStr">
        <is>
          <t>16x84,5</t>
        </is>
      </c>
      <c r="F219" s="25" t="n">
        <v>589</v>
      </c>
      <c r="G219" s="25" t="n">
        <v>0.49</v>
      </c>
      <c r="H219" s="25">
        <f>G219*D219</f>
        <v/>
      </c>
      <c r="I219" s="25" t="n">
        <v>45</v>
      </c>
      <c r="J219" s="25" t="n">
        <v>31.5</v>
      </c>
      <c r="K219" s="37" t="n">
        <v>0</v>
      </c>
      <c r="L219" s="37" t="n">
        <v>18.18</v>
      </c>
      <c r="M219" s="37" t="n"/>
      <c r="N219" s="10">
        <f>G219*2400+K219+L219+M219</f>
        <v/>
      </c>
      <c r="O219" s="10">
        <f>(K219+M219)/G219</f>
        <v/>
      </c>
      <c r="P219" s="10">
        <f>L219/G219</f>
        <v/>
      </c>
      <c r="Q219" s="10">
        <f>N219*D219/1000</f>
        <v/>
      </c>
      <c r="R219" s="11">
        <f>K219*D219/1000</f>
        <v/>
      </c>
      <c r="S219" s="11">
        <f>L219*D219/1000</f>
        <v/>
      </c>
    </row>
    <row r="220" ht="46.5" customHeight="1">
      <c r="A220" s="25" t="inlineStr">
        <is>
          <t>LAJE</t>
        </is>
      </c>
      <c r="B220" s="25" t="inlineStr">
        <is>
          <t>L-5029</t>
        </is>
      </c>
      <c r="C220" s="25" t="inlineStr">
        <is>
          <t>L5029-FORMA E ARMAÇÃO-R00</t>
        </is>
      </c>
      <c r="D220" s="25" t="n">
        <v>2</v>
      </c>
      <c r="E220" s="25" t="inlineStr">
        <is>
          <t>16x65</t>
        </is>
      </c>
      <c r="F220" s="25" t="n">
        <v>589</v>
      </c>
      <c r="G220" s="25" t="n">
        <v>0.38</v>
      </c>
      <c r="H220" s="25">
        <f>G220*D220</f>
        <v/>
      </c>
      <c r="I220" s="25" t="n">
        <v>45</v>
      </c>
      <c r="J220" s="25" t="n">
        <v>31.5</v>
      </c>
      <c r="K220" s="37" t="n">
        <v>0</v>
      </c>
      <c r="L220" s="37" t="n">
        <v>18.18</v>
      </c>
      <c r="M220" s="37" t="n"/>
      <c r="N220" s="10">
        <f>G220*2400+K220+L220+M220</f>
        <v/>
      </c>
      <c r="O220" s="10">
        <f>(K220+M220)/G220</f>
        <v/>
      </c>
      <c r="P220" s="10">
        <f>L220/G220</f>
        <v/>
      </c>
      <c r="Q220" s="10">
        <f>N220*D220/1000</f>
        <v/>
      </c>
      <c r="R220" s="11">
        <f>K220*D220/1000</f>
        <v/>
      </c>
      <c r="S220" s="11">
        <f>L220*D220/1000</f>
        <v/>
      </c>
    </row>
    <row r="221" ht="46.5" customHeight="1">
      <c r="A221" s="25" t="inlineStr">
        <is>
          <t>LAJE</t>
        </is>
      </c>
      <c r="B221" s="25" t="inlineStr">
        <is>
          <t>L-5030</t>
        </is>
      </c>
      <c r="C221" s="25" t="inlineStr">
        <is>
          <t>L5030-FORMA E ARMAÇÃO-R00</t>
        </is>
      </c>
      <c r="D221" s="25" t="n">
        <v>1</v>
      </c>
      <c r="E221" s="25" t="inlineStr">
        <is>
          <t>16x125</t>
        </is>
      </c>
      <c r="F221" s="25" t="n">
        <v>589</v>
      </c>
      <c r="G221" s="25" t="n">
        <v>0.72</v>
      </c>
      <c r="H221" s="25">
        <f>G221*D221</f>
        <v/>
      </c>
      <c r="I221" s="25" t="n">
        <v>45</v>
      </c>
      <c r="J221" s="25" t="n">
        <v>31.5</v>
      </c>
      <c r="K221" s="37" t="n">
        <v>0</v>
      </c>
      <c r="L221" s="37" t="n">
        <v>18.18</v>
      </c>
      <c r="M221" s="37" t="n"/>
      <c r="N221" s="10">
        <f>G221*2400+K221+L221+M221</f>
        <v/>
      </c>
      <c r="O221" s="10">
        <f>(K221+M221)/G221</f>
        <v/>
      </c>
      <c r="P221" s="10">
        <f>L221/G221</f>
        <v/>
      </c>
      <c r="Q221" s="10">
        <f>N221*D221/1000</f>
        <v/>
      </c>
      <c r="R221" s="11">
        <f>K221*D221/1000</f>
        <v/>
      </c>
      <c r="S221" s="11">
        <f>L221*D221/1000</f>
        <v/>
      </c>
    </row>
    <row r="222" ht="46.5" customHeight="1">
      <c r="A222" s="25" t="inlineStr">
        <is>
          <t>LAJE</t>
        </is>
      </c>
      <c r="B222" s="25" t="inlineStr">
        <is>
          <t>L-5031</t>
        </is>
      </c>
      <c r="C222" s="25" t="inlineStr">
        <is>
          <t>L5031-FORMA E ARMAÇÃO-R00</t>
        </is>
      </c>
      <c r="D222" s="25" t="n">
        <v>1</v>
      </c>
      <c r="E222" s="25" t="inlineStr">
        <is>
          <t>16x80</t>
        </is>
      </c>
      <c r="F222" s="25" t="n">
        <v>589</v>
      </c>
      <c r="G222" s="25" t="n">
        <v>0.46</v>
      </c>
      <c r="H222" s="25">
        <f>G222*D222</f>
        <v/>
      </c>
      <c r="I222" s="25" t="n">
        <v>45</v>
      </c>
      <c r="J222" s="25" t="n">
        <v>31.5</v>
      </c>
      <c r="K222" s="37" t="n">
        <v>0</v>
      </c>
      <c r="L222" s="37" t="n">
        <v>18.18</v>
      </c>
      <c r="M222" s="37" t="n"/>
      <c r="N222" s="10">
        <f>G222*2400+K222+L222+M222</f>
        <v/>
      </c>
      <c r="O222" s="10">
        <f>(K222+M222)/G222</f>
        <v/>
      </c>
      <c r="P222" s="10">
        <f>L222/G222</f>
        <v/>
      </c>
      <c r="Q222" s="10">
        <f>N222*D222/1000</f>
        <v/>
      </c>
      <c r="R222" s="11">
        <f>K222*D222/1000</f>
        <v/>
      </c>
      <c r="S222" s="11">
        <f>L222*D222/1000</f>
        <v/>
      </c>
    </row>
    <row r="223" ht="46.5" customHeight="1">
      <c r="A223" s="25" t="inlineStr">
        <is>
          <t>LAJE</t>
        </is>
      </c>
      <c r="B223" s="25" t="inlineStr">
        <is>
          <t>L-5032</t>
        </is>
      </c>
      <c r="C223" s="25" t="inlineStr">
        <is>
          <t>L5032-FORMA E ARMAÇÃO-R00</t>
        </is>
      </c>
      <c r="D223" s="25" t="n">
        <v>15</v>
      </c>
      <c r="E223" s="25" t="inlineStr">
        <is>
          <t>21x125</t>
        </is>
      </c>
      <c r="F223" s="25" t="n">
        <v>917</v>
      </c>
      <c r="G223" s="25" t="n">
        <v>1.36</v>
      </c>
      <c r="H223" s="25">
        <f>G223*D223</f>
        <v/>
      </c>
      <c r="I223" s="25" t="n">
        <v>45</v>
      </c>
      <c r="J223" s="25" t="n">
        <v>31.5</v>
      </c>
      <c r="K223" s="37" t="n">
        <v>0</v>
      </c>
      <c r="L223" s="37" t="n">
        <v>58.1</v>
      </c>
      <c r="M223" s="37" t="n"/>
      <c r="N223" s="10">
        <f>G223*2400+K223+L223+M223</f>
        <v/>
      </c>
      <c r="O223" s="10">
        <f>(K223+M223)/G223</f>
        <v/>
      </c>
      <c r="P223" s="10">
        <f>L223/G223</f>
        <v/>
      </c>
      <c r="Q223" s="10">
        <f>N223*D223/1000</f>
        <v/>
      </c>
      <c r="R223" s="11">
        <f>K223*D223/1000</f>
        <v/>
      </c>
      <c r="S223" s="11">
        <f>L223*D223/1000</f>
        <v/>
      </c>
    </row>
    <row r="224" ht="46.5" customHeight="1">
      <c r="A224" s="25" t="inlineStr">
        <is>
          <t>LAJE</t>
        </is>
      </c>
      <c r="B224" s="25" t="inlineStr">
        <is>
          <t>L-5033</t>
        </is>
      </c>
      <c r="C224" s="25" t="inlineStr">
        <is>
          <t>L5033-FORMA E ARMAÇÃO-R00</t>
        </is>
      </c>
      <c r="D224" s="25" t="n">
        <v>1</v>
      </c>
      <c r="E224" s="25" t="inlineStr">
        <is>
          <t>21x125</t>
        </is>
      </c>
      <c r="F224" s="25" t="n">
        <v>917</v>
      </c>
      <c r="G224" s="25" t="n">
        <v>1.35</v>
      </c>
      <c r="H224" s="25">
        <f>G224*D224</f>
        <v/>
      </c>
      <c r="I224" s="25" t="n">
        <v>45</v>
      </c>
      <c r="J224" s="25" t="n">
        <v>31.5</v>
      </c>
      <c r="K224" s="37" t="n">
        <v>0</v>
      </c>
      <c r="L224" s="37" t="n">
        <v>58.1</v>
      </c>
      <c r="M224" s="37" t="n"/>
      <c r="N224" s="10">
        <f>G224*2400+K224+L224+M224</f>
        <v/>
      </c>
      <c r="O224" s="10">
        <f>(K224+M224)/G224</f>
        <v/>
      </c>
      <c r="P224" s="10">
        <f>L224/G224</f>
        <v/>
      </c>
      <c r="Q224" s="10">
        <f>N224*D224/1000</f>
        <v/>
      </c>
      <c r="R224" s="11">
        <f>K224*D224/1000</f>
        <v/>
      </c>
      <c r="S224" s="11">
        <f>L224*D224/1000</f>
        <v/>
      </c>
    </row>
    <row r="225" ht="46.5" customHeight="1">
      <c r="A225" s="25" t="inlineStr">
        <is>
          <t>LAJE</t>
        </is>
      </c>
      <c r="B225" s="25" t="inlineStr">
        <is>
          <t>L-5034</t>
        </is>
      </c>
      <c r="C225" s="25" t="inlineStr">
        <is>
          <t>L5034-FORMA E ARMAÇÃO-R00</t>
        </is>
      </c>
      <c r="D225" s="25" t="n">
        <v>1</v>
      </c>
      <c r="E225" s="25" t="inlineStr">
        <is>
          <t>21x125</t>
        </is>
      </c>
      <c r="F225" s="25" t="n">
        <v>917</v>
      </c>
      <c r="G225" s="25" t="n">
        <v>1.35</v>
      </c>
      <c r="H225" s="25">
        <f>G225*D225</f>
        <v/>
      </c>
      <c r="I225" s="25" t="n">
        <v>45</v>
      </c>
      <c r="J225" s="25" t="n">
        <v>31.5</v>
      </c>
      <c r="K225" s="37" t="n">
        <v>0</v>
      </c>
      <c r="L225" s="37" t="n">
        <v>58.1</v>
      </c>
      <c r="M225" s="37" t="n"/>
      <c r="N225" s="10">
        <f>G225*2400+K225+L225+M225</f>
        <v/>
      </c>
      <c r="O225" s="10">
        <f>(K225+M225)/G225</f>
        <v/>
      </c>
      <c r="P225" s="10">
        <f>L225/G225</f>
        <v/>
      </c>
      <c r="Q225" s="10">
        <f>N225*D225/1000</f>
        <v/>
      </c>
      <c r="R225" s="11">
        <f>K225*D225/1000</f>
        <v/>
      </c>
      <c r="S225" s="11">
        <f>L225*D225/1000</f>
        <v/>
      </c>
    </row>
    <row r="226" ht="46.5" customHeight="1">
      <c r="A226" s="25" t="inlineStr">
        <is>
          <t>LAJE</t>
        </is>
      </c>
      <c r="B226" s="25" t="inlineStr">
        <is>
          <t>L-5035</t>
        </is>
      </c>
      <c r="C226" s="25" t="inlineStr">
        <is>
          <t>L5035-FORMA E ARMAÇÃO-R00</t>
        </is>
      </c>
      <c r="D226" s="25" t="n">
        <v>1</v>
      </c>
      <c r="E226" s="25" t="inlineStr">
        <is>
          <t>21x125</t>
        </is>
      </c>
      <c r="F226" s="25" t="n">
        <v>917</v>
      </c>
      <c r="G226" s="25" t="n">
        <v>1.35</v>
      </c>
      <c r="H226" s="25">
        <f>G226*D226</f>
        <v/>
      </c>
      <c r="I226" s="25" t="n">
        <v>45</v>
      </c>
      <c r="J226" s="25" t="n">
        <v>31.5</v>
      </c>
      <c r="K226" s="37" t="n">
        <v>0</v>
      </c>
      <c r="L226" s="37" t="n">
        <v>58.1</v>
      </c>
      <c r="M226" s="37" t="n"/>
      <c r="N226" s="10">
        <f>G226*2400+K226+L226+M226</f>
        <v/>
      </c>
      <c r="O226" s="10">
        <f>(K226+M226)/G226</f>
        <v/>
      </c>
      <c r="P226" s="10">
        <f>L226/G226</f>
        <v/>
      </c>
      <c r="Q226" s="10">
        <f>N226*D226/1000</f>
        <v/>
      </c>
      <c r="R226" s="11">
        <f>K226*D226/1000</f>
        <v/>
      </c>
      <c r="S226" s="11">
        <f>L226*D226/1000</f>
        <v/>
      </c>
    </row>
    <row r="227" ht="46.5" customHeight="1">
      <c r="A227" s="25" t="inlineStr">
        <is>
          <t>LAJE</t>
        </is>
      </c>
      <c r="B227" s="25" t="inlineStr">
        <is>
          <t>L-5036</t>
        </is>
      </c>
      <c r="C227" s="25" t="inlineStr">
        <is>
          <t>L5036-FORMA E ARMAÇÃO-R00</t>
        </is>
      </c>
      <c r="D227" s="25" t="n">
        <v>1</v>
      </c>
      <c r="E227" s="25" t="inlineStr">
        <is>
          <t>21x125</t>
        </is>
      </c>
      <c r="F227" s="25" t="n">
        <v>917</v>
      </c>
      <c r="G227" s="25" t="n">
        <v>1.35</v>
      </c>
      <c r="H227" s="25">
        <f>G227*D227</f>
        <v/>
      </c>
      <c r="I227" s="25" t="n">
        <v>45</v>
      </c>
      <c r="J227" s="25" t="n">
        <v>31.5</v>
      </c>
      <c r="K227" s="37" t="n">
        <v>0</v>
      </c>
      <c r="L227" s="37" t="n">
        <v>58.1</v>
      </c>
      <c r="M227" s="37" t="n"/>
      <c r="N227" s="10">
        <f>G227*2400+K227+L227+M227</f>
        <v/>
      </c>
      <c r="O227" s="10">
        <f>(K227+M227)/G227</f>
        <v/>
      </c>
      <c r="P227" s="10">
        <f>L227/G227</f>
        <v/>
      </c>
      <c r="Q227" s="10">
        <f>N227*D227/1000</f>
        <v/>
      </c>
      <c r="R227" s="11">
        <f>K227*D227/1000</f>
        <v/>
      </c>
      <c r="S227" s="11">
        <f>L227*D227/1000</f>
        <v/>
      </c>
    </row>
    <row r="228" ht="46.5" customHeight="1">
      <c r="A228" s="25" t="inlineStr">
        <is>
          <t>LAJE</t>
        </is>
      </c>
      <c r="B228" s="25" t="inlineStr">
        <is>
          <t>L-5037</t>
        </is>
      </c>
      <c r="C228" s="25" t="inlineStr">
        <is>
          <t>L5037-FORMA E ARMAÇÃO-R00</t>
        </is>
      </c>
      <c r="D228" s="25" t="n">
        <v>1</v>
      </c>
      <c r="E228" s="25" t="inlineStr">
        <is>
          <t>21x125</t>
        </is>
      </c>
      <c r="F228" s="25" t="n">
        <v>917</v>
      </c>
      <c r="G228" s="25" t="n">
        <v>1.36</v>
      </c>
      <c r="H228" s="25">
        <f>G228*D228</f>
        <v/>
      </c>
      <c r="I228" s="25" t="n">
        <v>45</v>
      </c>
      <c r="J228" s="25" t="n">
        <v>31.5</v>
      </c>
      <c r="K228" s="37" t="n">
        <v>0</v>
      </c>
      <c r="L228" s="37" t="n">
        <v>58.1</v>
      </c>
      <c r="M228" s="37" t="n"/>
      <c r="N228" s="10">
        <f>G228*2400+K228+L228+M228</f>
        <v/>
      </c>
      <c r="O228" s="10">
        <f>(K228+M228)/G228</f>
        <v/>
      </c>
      <c r="P228" s="10">
        <f>L228/G228</f>
        <v/>
      </c>
      <c r="Q228" s="10">
        <f>N228*D228/1000</f>
        <v/>
      </c>
      <c r="R228" s="11">
        <f>K228*D228/1000</f>
        <v/>
      </c>
      <c r="S228" s="11">
        <f>L228*D228/1000</f>
        <v/>
      </c>
    </row>
    <row r="229" ht="46.5" customHeight="1">
      <c r="A229" s="25" t="inlineStr">
        <is>
          <t>LAJE</t>
        </is>
      </c>
      <c r="B229" s="25" t="inlineStr">
        <is>
          <t>L-5038</t>
        </is>
      </c>
      <c r="C229" s="25" t="inlineStr">
        <is>
          <t>L5038-FORMA E ARMAÇÃO-R00</t>
        </is>
      </c>
      <c r="D229" s="25" t="n">
        <v>1</v>
      </c>
      <c r="E229" s="25" t="inlineStr">
        <is>
          <t>21x125</t>
        </is>
      </c>
      <c r="F229" s="25" t="n">
        <v>917</v>
      </c>
      <c r="G229" s="25" t="n">
        <v>1.35</v>
      </c>
      <c r="H229" s="25">
        <f>G229*D229</f>
        <v/>
      </c>
      <c r="I229" s="25" t="n">
        <v>45</v>
      </c>
      <c r="J229" s="25" t="n">
        <v>31.5</v>
      </c>
      <c r="K229" s="37" t="n">
        <v>0</v>
      </c>
      <c r="L229" s="37" t="n">
        <v>58.1</v>
      </c>
      <c r="M229" s="37" t="n"/>
      <c r="N229" s="10">
        <f>G229*2400+K229+L229+M229</f>
        <v/>
      </c>
      <c r="O229" s="10">
        <f>(K229+M229)/G229</f>
        <v/>
      </c>
      <c r="P229" s="10">
        <f>L229/G229</f>
        <v/>
      </c>
      <c r="Q229" s="10">
        <f>N229*D229/1000</f>
        <v/>
      </c>
      <c r="R229" s="11">
        <f>K229*D229/1000</f>
        <v/>
      </c>
      <c r="S229" s="11">
        <f>L229*D229/1000</f>
        <v/>
      </c>
    </row>
    <row r="230" ht="46.5" customHeight="1">
      <c r="A230" s="25" t="inlineStr">
        <is>
          <t>LAJE</t>
        </is>
      </c>
      <c r="B230" s="25" t="inlineStr">
        <is>
          <t>L-5039</t>
        </is>
      </c>
      <c r="C230" s="25" t="inlineStr">
        <is>
          <t>L5039-FORMA E ARMAÇÃO-R00</t>
        </is>
      </c>
      <c r="D230" s="25" t="n">
        <v>3</v>
      </c>
      <c r="E230" s="25" t="inlineStr">
        <is>
          <t>21x68</t>
        </is>
      </c>
      <c r="F230" s="25" t="n">
        <v>917</v>
      </c>
      <c r="G230" s="25" t="n">
        <v>0.73</v>
      </c>
      <c r="H230" s="25">
        <f>G230*D230</f>
        <v/>
      </c>
      <c r="I230" s="25" t="n">
        <v>45</v>
      </c>
      <c r="J230" s="25" t="n">
        <v>31.5</v>
      </c>
      <c r="K230" s="37" t="n">
        <v>0</v>
      </c>
      <c r="L230" s="37" t="n">
        <v>58.1</v>
      </c>
      <c r="M230" s="37" t="n"/>
      <c r="N230" s="10">
        <f>G230*2400+K230+L230+M230</f>
        <v/>
      </c>
      <c r="O230" s="10">
        <f>(K230+M230)/G230</f>
        <v/>
      </c>
      <c r="P230" s="10">
        <f>L230/G230</f>
        <v/>
      </c>
      <c r="Q230" s="10">
        <f>N230*D230/1000</f>
        <v/>
      </c>
      <c r="R230" s="11">
        <f>K230*D230/1000</f>
        <v/>
      </c>
      <c r="S230" s="11">
        <f>L230*D230/1000</f>
        <v/>
      </c>
    </row>
    <row r="231" ht="46.5" customHeight="1">
      <c r="A231" s="25" t="inlineStr">
        <is>
          <t>LAJE</t>
        </is>
      </c>
      <c r="B231" s="25" t="inlineStr">
        <is>
          <t>L-5040</t>
        </is>
      </c>
      <c r="C231" s="25" t="inlineStr">
        <is>
          <t>L5040-FORMA E ARMAÇÃO-R00</t>
        </is>
      </c>
      <c r="D231" s="25" t="n">
        <v>1</v>
      </c>
      <c r="E231" s="25" t="inlineStr">
        <is>
          <t>21x68</t>
        </is>
      </c>
      <c r="F231" s="25" t="n">
        <v>917</v>
      </c>
      <c r="G231" s="25" t="n">
        <v>1.34</v>
      </c>
      <c r="H231" s="25">
        <f>G231*D231</f>
        <v/>
      </c>
      <c r="I231" s="25" t="n">
        <v>45</v>
      </c>
      <c r="J231" s="25" t="n">
        <v>31.5</v>
      </c>
      <c r="K231" s="37" t="n">
        <v>0</v>
      </c>
      <c r="L231" s="37" t="n">
        <v>58.1</v>
      </c>
      <c r="M231" s="37" t="n"/>
      <c r="N231" s="10">
        <f>G231*2400+K231+L231+M231</f>
        <v/>
      </c>
      <c r="O231" s="10">
        <f>(K231+M231)/G231</f>
        <v/>
      </c>
      <c r="P231" s="10">
        <f>L231/G231</f>
        <v/>
      </c>
      <c r="Q231" s="10">
        <f>N231*D231/1000</f>
        <v/>
      </c>
      <c r="R231" s="11">
        <f>K231*D231/1000</f>
        <v/>
      </c>
      <c r="S231" s="11">
        <f>L231*D231/1000</f>
        <v/>
      </c>
    </row>
    <row r="232" ht="46.5" customHeight="1">
      <c r="A232" s="25" t="inlineStr">
        <is>
          <t>LAJE</t>
        </is>
      </c>
      <c r="B232" s="25" t="inlineStr">
        <is>
          <t>L-5046</t>
        </is>
      </c>
      <c r="C232" s="25" t="inlineStr">
        <is>
          <t>L5046-FORMA E ARMAÇÃO-R00</t>
        </is>
      </c>
      <c r="D232" s="25" t="n">
        <v>1</v>
      </c>
      <c r="E232" s="25" t="inlineStr">
        <is>
          <t>21x125</t>
        </is>
      </c>
      <c r="F232" s="25" t="n">
        <v>414</v>
      </c>
      <c r="G232" s="25" t="n">
        <v>0.61</v>
      </c>
      <c r="H232" s="25">
        <f>G232*D232</f>
        <v/>
      </c>
      <c r="I232" s="25" t="n">
        <v>45</v>
      </c>
      <c r="J232" s="25" t="n">
        <v>31.5</v>
      </c>
      <c r="K232" s="37" t="n">
        <v>0</v>
      </c>
      <c r="L232" s="37" t="n">
        <v>26.23</v>
      </c>
      <c r="M232" s="37" t="n"/>
      <c r="N232" s="10">
        <f>G232*2400+K232+L232+M232</f>
        <v/>
      </c>
      <c r="O232" s="10">
        <f>(K232+M232)/G232</f>
        <v/>
      </c>
      <c r="P232" s="10">
        <f>L232/G232</f>
        <v/>
      </c>
      <c r="Q232" s="10">
        <f>N232*D232/1000</f>
        <v/>
      </c>
      <c r="R232" s="11">
        <f>K232*D232/1000</f>
        <v/>
      </c>
      <c r="S232" s="11">
        <f>L232*D232/1000</f>
        <v/>
      </c>
    </row>
    <row r="233" ht="46.5" customHeight="1">
      <c r="A233" s="25" t="inlineStr">
        <is>
          <t>LAJE</t>
        </is>
      </c>
      <c r="B233" s="25" t="inlineStr">
        <is>
          <t>L-5047</t>
        </is>
      </c>
      <c r="C233" s="25" t="inlineStr">
        <is>
          <t>L5047-FORMA E ARMAÇÃO-R00</t>
        </is>
      </c>
      <c r="D233" s="25" t="n">
        <v>1</v>
      </c>
      <c r="E233" s="25" t="inlineStr">
        <is>
          <t>21x65</t>
        </is>
      </c>
      <c r="F233" s="25" t="n">
        <v>414</v>
      </c>
      <c r="G233" s="25" t="n">
        <v>0.31</v>
      </c>
      <c r="H233" s="25">
        <f>G233*D233</f>
        <v/>
      </c>
      <c r="I233" s="25" t="n">
        <v>45</v>
      </c>
      <c r="J233" s="25" t="n">
        <v>31.5</v>
      </c>
      <c r="K233" s="37" t="n">
        <v>0</v>
      </c>
      <c r="L233" s="37" t="n">
        <v>26.23</v>
      </c>
      <c r="M233" s="37" t="n"/>
      <c r="N233" s="10">
        <f>G233*2400+K233+L233+M233</f>
        <v/>
      </c>
      <c r="O233" s="10">
        <f>(K233+M233)/G233</f>
        <v/>
      </c>
      <c r="P233" s="10">
        <f>L233/G233</f>
        <v/>
      </c>
      <c r="Q233" s="10">
        <f>N233*D233/1000</f>
        <v/>
      </c>
      <c r="R233" s="11">
        <f>K233*D233/1000</f>
        <v/>
      </c>
      <c r="S233" s="11">
        <f>L233*D233/1000</f>
        <v/>
      </c>
    </row>
    <row r="234" ht="46.5" customHeight="1">
      <c r="A234" s="25" t="inlineStr">
        <is>
          <t>LAJE</t>
        </is>
      </c>
      <c r="B234" s="25" t="inlineStr">
        <is>
          <t>L-5048</t>
        </is>
      </c>
      <c r="C234" s="25" t="inlineStr">
        <is>
          <t>L5048-FORMA E ARMAÇÃO-R00</t>
        </is>
      </c>
      <c r="D234" s="25" t="n">
        <v>2</v>
      </c>
      <c r="E234" s="25" t="inlineStr">
        <is>
          <t>21x125</t>
        </is>
      </c>
      <c r="F234" s="25" t="n">
        <v>414</v>
      </c>
      <c r="G234" s="25" t="n">
        <v>0.61</v>
      </c>
      <c r="H234" s="25">
        <f>G234*D234</f>
        <v/>
      </c>
      <c r="I234" s="25" t="n">
        <v>45</v>
      </c>
      <c r="J234" s="25" t="n">
        <v>31.5</v>
      </c>
      <c r="K234" s="37" t="n">
        <v>0</v>
      </c>
      <c r="L234" s="37" t="n">
        <v>26.23</v>
      </c>
      <c r="M234" s="37" t="n"/>
      <c r="N234" s="10">
        <f>G234*2400+K234+L234+M234</f>
        <v/>
      </c>
      <c r="O234" s="10">
        <f>(K234+M234)/G234</f>
        <v/>
      </c>
      <c r="P234" s="10">
        <f>L234/G234</f>
        <v/>
      </c>
      <c r="Q234" s="10">
        <f>N234*D234/1000</f>
        <v/>
      </c>
      <c r="R234" s="11">
        <f>K234*D234/1000</f>
        <v/>
      </c>
      <c r="S234" s="11">
        <f>L234*D234/1000</f>
        <v/>
      </c>
    </row>
    <row r="235" ht="46.5" customHeight="1">
      <c r="A235" s="25" t="inlineStr">
        <is>
          <t>LAJE</t>
        </is>
      </c>
      <c r="B235" s="25" t="inlineStr">
        <is>
          <t>L-5049</t>
        </is>
      </c>
      <c r="C235" s="25" t="inlineStr">
        <is>
          <t>L5049-FORMA E ARMAÇÃO-R00</t>
        </is>
      </c>
      <c r="D235" s="25" t="n">
        <v>1</v>
      </c>
      <c r="E235" s="25" t="inlineStr">
        <is>
          <t>21x84</t>
        </is>
      </c>
      <c r="F235" s="25" t="n">
        <v>414</v>
      </c>
      <c r="G235" s="25" t="n">
        <v>0.41</v>
      </c>
      <c r="H235" s="25">
        <f>G235*D235</f>
        <v/>
      </c>
      <c r="I235" s="25" t="n">
        <v>45</v>
      </c>
      <c r="J235" s="25" t="n">
        <v>31.5</v>
      </c>
      <c r="K235" s="37" t="n">
        <v>0</v>
      </c>
      <c r="L235" s="37" t="n">
        <v>26.23</v>
      </c>
      <c r="M235" s="37" t="n"/>
      <c r="N235" s="10">
        <f>G235*2400+K235+L235+M235</f>
        <v/>
      </c>
      <c r="O235" s="10">
        <f>(K235+M235)/G235</f>
        <v/>
      </c>
      <c r="P235" s="10">
        <f>L235/G235</f>
        <v/>
      </c>
      <c r="Q235" s="10">
        <f>N235*D235/1000</f>
        <v/>
      </c>
      <c r="R235" s="11">
        <f>K235*D235/1000</f>
        <v/>
      </c>
      <c r="S235" s="11">
        <f>L235*D235/1000</f>
        <v/>
      </c>
    </row>
    <row r="236" ht="46.5" customHeight="1">
      <c r="A236" s="25" t="inlineStr">
        <is>
          <t>LAJE</t>
        </is>
      </c>
      <c r="B236" s="25" t="inlineStr">
        <is>
          <t>L-5050</t>
        </is>
      </c>
      <c r="C236" s="25" t="inlineStr">
        <is>
          <t>L5050-FORMA E ARMAÇÃO-R00</t>
        </is>
      </c>
      <c r="D236" s="25" t="n">
        <v>1</v>
      </c>
      <c r="E236" s="25" t="inlineStr">
        <is>
          <t>21x103</t>
        </is>
      </c>
      <c r="F236" s="25" t="n">
        <v>414</v>
      </c>
      <c r="G236" s="25" t="n">
        <v>0.5</v>
      </c>
      <c r="H236" s="25">
        <f>G236*D236</f>
        <v/>
      </c>
      <c r="I236" s="25" t="n">
        <v>45</v>
      </c>
      <c r="J236" s="25" t="n">
        <v>31.5</v>
      </c>
      <c r="K236" s="37" t="n">
        <v>0</v>
      </c>
      <c r="L236" s="37" t="n">
        <v>26.23</v>
      </c>
      <c r="M236" s="37" t="n"/>
      <c r="N236" s="10">
        <f>G236*2400+K236+L236+M236</f>
        <v/>
      </c>
      <c r="O236" s="10">
        <f>(K236+M236)/G236</f>
        <v/>
      </c>
      <c r="P236" s="10">
        <f>L236/G236</f>
        <v/>
      </c>
      <c r="Q236" s="10">
        <f>N236*D236/1000</f>
        <v/>
      </c>
      <c r="R236" s="11">
        <f>K236*D236/1000</f>
        <v/>
      </c>
      <c r="S236" s="11">
        <f>L236*D236/1000</f>
        <v/>
      </c>
    </row>
    <row r="237" ht="46.5" customHeight="1">
      <c r="A237" s="25" t="inlineStr">
        <is>
          <t>LAJE</t>
        </is>
      </c>
      <c r="B237" s="25" t="inlineStr">
        <is>
          <t>L-5051</t>
        </is>
      </c>
      <c r="C237" s="25" t="inlineStr">
        <is>
          <t>L5051-FORMA E ARMAÇÃO-R00</t>
        </is>
      </c>
      <c r="D237" s="25" t="n">
        <v>1</v>
      </c>
      <c r="E237" s="25" t="inlineStr">
        <is>
          <t>21x125</t>
        </is>
      </c>
      <c r="F237" s="25" t="n">
        <v>619</v>
      </c>
      <c r="G237" s="25" t="n">
        <v>0.9</v>
      </c>
      <c r="H237" s="25">
        <f>G237*D237</f>
        <v/>
      </c>
      <c r="I237" s="25" t="n">
        <v>45</v>
      </c>
      <c r="J237" s="25" t="n">
        <v>31.5</v>
      </c>
      <c r="K237" s="37" t="n">
        <v>0</v>
      </c>
      <c r="L237" s="37" t="n">
        <v>39.22</v>
      </c>
      <c r="M237" s="37" t="n"/>
      <c r="N237" s="10">
        <f>G237*2400+K237+L237+M237</f>
        <v/>
      </c>
      <c r="O237" s="10">
        <f>(K237+M237)/G237</f>
        <v/>
      </c>
      <c r="P237" s="10">
        <f>L237/G237</f>
        <v/>
      </c>
      <c r="Q237" s="10">
        <f>N237*D237/1000</f>
        <v/>
      </c>
      <c r="R237" s="11">
        <f>K237*D237/1000</f>
        <v/>
      </c>
      <c r="S237" s="11">
        <f>L237*D237/1000</f>
        <v/>
      </c>
    </row>
    <row r="238" ht="46.5" customHeight="1">
      <c r="A238" s="25" t="inlineStr">
        <is>
          <t>LAJE</t>
        </is>
      </c>
      <c r="B238" s="25" t="inlineStr">
        <is>
          <t>L-5052</t>
        </is>
      </c>
      <c r="C238" s="25" t="inlineStr">
        <is>
          <t>L5052-FORMA E ARMAÇÃO-R00</t>
        </is>
      </c>
      <c r="D238" s="25" t="n">
        <v>1</v>
      </c>
      <c r="E238" s="25" t="inlineStr">
        <is>
          <t>21x65</t>
        </is>
      </c>
      <c r="F238" s="25" t="n">
        <v>619</v>
      </c>
      <c r="G238" s="25" t="n">
        <v>0.47</v>
      </c>
      <c r="H238" s="25">
        <f>G238*D238</f>
        <v/>
      </c>
      <c r="I238" s="25" t="n">
        <v>45</v>
      </c>
      <c r="J238" s="25" t="n">
        <v>31.5</v>
      </c>
      <c r="K238" s="37" t="n">
        <v>0</v>
      </c>
      <c r="L238" s="37" t="n">
        <v>39.22</v>
      </c>
      <c r="M238" s="37" t="n"/>
      <c r="N238" s="10">
        <f>G238*2400+K238+L238+M238</f>
        <v/>
      </c>
      <c r="O238" s="10">
        <f>(K238+M238)/G238</f>
        <v/>
      </c>
      <c r="P238" s="10">
        <f>L238/G238</f>
        <v/>
      </c>
      <c r="Q238" s="10">
        <f>N238*D238/1000</f>
        <v/>
      </c>
      <c r="R238" s="11">
        <f>K238*D238/1000</f>
        <v/>
      </c>
      <c r="S238" s="11">
        <f>L238*D238/1000</f>
        <v/>
      </c>
    </row>
    <row r="239" ht="46.5" customHeight="1">
      <c r="A239" s="25" t="inlineStr">
        <is>
          <t>LAJE</t>
        </is>
      </c>
      <c r="B239" s="25" t="inlineStr">
        <is>
          <t>L-5053</t>
        </is>
      </c>
      <c r="C239" s="25" t="inlineStr">
        <is>
          <t>L5053-FORMA E ARMAÇÃO-R00</t>
        </is>
      </c>
      <c r="D239" s="25" t="n">
        <v>2</v>
      </c>
      <c r="E239" s="25" t="inlineStr">
        <is>
          <t>21x125</t>
        </is>
      </c>
      <c r="F239" s="25" t="n">
        <v>619</v>
      </c>
      <c r="G239" s="25" t="n">
        <v>0.92</v>
      </c>
      <c r="H239" s="25">
        <f>G239*D239</f>
        <v/>
      </c>
      <c r="I239" s="25" t="n">
        <v>45</v>
      </c>
      <c r="J239" s="25" t="n">
        <v>31.5</v>
      </c>
      <c r="K239" s="37" t="n">
        <v>0</v>
      </c>
      <c r="L239" s="37" t="n">
        <v>39.22</v>
      </c>
      <c r="M239" s="37" t="n"/>
      <c r="N239" s="10">
        <f>G239*2400+K239+L239+M239</f>
        <v/>
      </c>
      <c r="O239" s="10">
        <f>(K239+M239)/G239</f>
        <v/>
      </c>
      <c r="P239" s="10">
        <f>L239/G239</f>
        <v/>
      </c>
      <c r="Q239" s="10">
        <f>N239*D239/1000</f>
        <v/>
      </c>
      <c r="R239" s="11">
        <f>K239*D239/1000</f>
        <v/>
      </c>
      <c r="S239" s="11">
        <f>L239*D239/1000</f>
        <v/>
      </c>
    </row>
    <row r="240" ht="46.5" customHeight="1">
      <c r="A240" s="25" t="inlineStr">
        <is>
          <t>LAJE</t>
        </is>
      </c>
      <c r="B240" s="25" t="inlineStr">
        <is>
          <t>L-5054</t>
        </is>
      </c>
      <c r="C240" s="25" t="inlineStr">
        <is>
          <t>L5054-FORMA E ARMAÇÃO-R00</t>
        </is>
      </c>
      <c r="D240" s="25" t="n">
        <v>1</v>
      </c>
      <c r="E240" s="25" t="inlineStr">
        <is>
          <t>21x84</t>
        </is>
      </c>
      <c r="F240" s="25" t="n">
        <v>619</v>
      </c>
      <c r="G240" s="25" t="n">
        <v>0.61</v>
      </c>
      <c r="H240" s="25">
        <f>G240*D240</f>
        <v/>
      </c>
      <c r="I240" s="25" t="n">
        <v>45</v>
      </c>
      <c r="J240" s="25" t="n">
        <v>31.5</v>
      </c>
      <c r="K240" s="37" t="n">
        <v>0</v>
      </c>
      <c r="L240" s="37" t="n">
        <v>39.22</v>
      </c>
      <c r="M240" s="37" t="n"/>
      <c r="N240" s="10">
        <f>G240*2400+K240+L240+M240</f>
        <v/>
      </c>
      <c r="O240" s="10">
        <f>(K240+M240)/G240</f>
        <v/>
      </c>
      <c r="P240" s="10">
        <f>L240/G240</f>
        <v/>
      </c>
      <c r="Q240" s="10">
        <f>N240*D240/1000</f>
        <v/>
      </c>
      <c r="R240" s="11">
        <f>K240*D240/1000</f>
        <v/>
      </c>
      <c r="S240" s="11">
        <f>L240*D240/1000</f>
        <v/>
      </c>
    </row>
    <row r="241" ht="46.5" customHeight="1">
      <c r="A241" s="25" t="inlineStr">
        <is>
          <t>LAJE</t>
        </is>
      </c>
      <c r="B241" s="25" t="inlineStr">
        <is>
          <t>L-5055</t>
        </is>
      </c>
      <c r="C241" s="25" t="inlineStr">
        <is>
          <t>L5055-FORMA E ARMAÇÃO-R00</t>
        </is>
      </c>
      <c r="D241" s="25" t="n">
        <v>1</v>
      </c>
      <c r="E241" s="25" t="inlineStr">
        <is>
          <t>21x103</t>
        </is>
      </c>
      <c r="F241" s="25" t="n">
        <v>619</v>
      </c>
      <c r="G241" s="25" t="n">
        <v>0.75</v>
      </c>
      <c r="H241" s="25">
        <f>G241*D241</f>
        <v/>
      </c>
      <c r="I241" s="25" t="n">
        <v>45</v>
      </c>
      <c r="J241" s="25" t="n">
        <v>31.5</v>
      </c>
      <c r="K241" s="37" t="n">
        <v>0</v>
      </c>
      <c r="L241" s="37" t="n">
        <v>39.22</v>
      </c>
      <c r="M241" s="37" t="n"/>
      <c r="N241" s="10">
        <f>G241*2400+K241+L241+M241</f>
        <v/>
      </c>
      <c r="O241" s="10">
        <f>(K241+M241)/G241</f>
        <v/>
      </c>
      <c r="P241" s="10">
        <f>L241/G241</f>
        <v/>
      </c>
      <c r="Q241" s="10">
        <f>N241*D241/1000</f>
        <v/>
      </c>
      <c r="R241" s="11">
        <f>K241*D241/1000</f>
        <v/>
      </c>
      <c r="S241" s="11">
        <f>L241*D241/1000</f>
        <v/>
      </c>
    </row>
    <row r="242" ht="46.5" customHeight="1">
      <c r="A242" s="25" t="inlineStr">
        <is>
          <t>LAJE</t>
        </is>
      </c>
      <c r="B242" s="25" t="inlineStr">
        <is>
          <t>L-5097</t>
        </is>
      </c>
      <c r="C242" s="25" t="inlineStr">
        <is>
          <t>L5097-FORMA E ARMAÇÃO-R00</t>
        </is>
      </c>
      <c r="D242" s="25" t="n">
        <v>4</v>
      </c>
      <c r="E242" s="25" t="inlineStr">
        <is>
          <t>21x125</t>
        </is>
      </c>
      <c r="F242" s="25" t="n">
        <v>726</v>
      </c>
      <c r="G242" s="25" t="n">
        <v>1.08</v>
      </c>
      <c r="H242" s="25">
        <f>G242*D242</f>
        <v/>
      </c>
      <c r="I242" s="25" t="n">
        <v>45</v>
      </c>
      <c r="J242" s="25" t="n">
        <v>31.5</v>
      </c>
      <c r="K242" s="37" t="n">
        <v>0</v>
      </c>
      <c r="L242" s="37" t="n">
        <v>51.75</v>
      </c>
      <c r="M242" s="37" t="n"/>
      <c r="N242" s="10">
        <f>G242*2400+K242+L242+M242</f>
        <v/>
      </c>
      <c r="O242" s="10">
        <f>(K242+M242)/G242</f>
        <v/>
      </c>
      <c r="P242" s="10">
        <f>L242/G242</f>
        <v/>
      </c>
      <c r="Q242" s="10">
        <f>N242*D242/1000</f>
        <v/>
      </c>
      <c r="R242" s="11">
        <f>K242*D242/1000</f>
        <v/>
      </c>
      <c r="S242" s="11">
        <f>L242*D242/1000</f>
        <v/>
      </c>
    </row>
    <row r="243" ht="46.5" customHeight="1">
      <c r="A243" s="25" t="inlineStr">
        <is>
          <t>LAJE</t>
        </is>
      </c>
      <c r="B243" s="25" t="inlineStr">
        <is>
          <t>L-5098</t>
        </is>
      </c>
      <c r="C243" s="25" t="inlineStr">
        <is>
          <t>L5098-FORMA E ARMAÇÃO-R00</t>
        </is>
      </c>
      <c r="D243" s="25" t="n">
        <v>1</v>
      </c>
      <c r="E243" s="25" t="inlineStr">
        <is>
          <t>21x88,5</t>
        </is>
      </c>
      <c r="F243" s="25" t="n">
        <v>726</v>
      </c>
      <c r="G243" s="25" t="n">
        <v>0.75</v>
      </c>
      <c r="H243" s="25">
        <f>G243*D243</f>
        <v/>
      </c>
      <c r="I243" s="25" t="n">
        <v>45</v>
      </c>
      <c r="J243" s="25" t="n">
        <v>31.5</v>
      </c>
      <c r="K243" s="37" t="n">
        <v>0</v>
      </c>
      <c r="L243" s="37" t="n">
        <v>51.75</v>
      </c>
      <c r="M243" s="37" t="n"/>
      <c r="N243" s="10">
        <f>G243*2400+K243+L243+M243</f>
        <v/>
      </c>
      <c r="O243" s="10">
        <f>(K243+M243)/G243</f>
        <v/>
      </c>
      <c r="P243" s="10">
        <f>L243/G243</f>
        <v/>
      </c>
      <c r="Q243" s="10">
        <f>N243*D243/1000</f>
        <v/>
      </c>
      <c r="R243" s="11">
        <f>K243*D243/1000</f>
        <v/>
      </c>
      <c r="S243" s="11">
        <f>L243*D243/1000</f>
        <v/>
      </c>
    </row>
    <row r="244" ht="46.5" customHeight="1">
      <c r="A244" s="25" t="inlineStr">
        <is>
          <t>LAJE</t>
        </is>
      </c>
      <c r="B244" s="25" t="inlineStr">
        <is>
          <t>L-5099</t>
        </is>
      </c>
      <c r="C244" s="25" t="inlineStr">
        <is>
          <t>L5099-FORMA E ARMAÇÃO-R00</t>
        </is>
      </c>
      <c r="D244" s="25" t="n">
        <v>2</v>
      </c>
      <c r="E244" s="25" t="inlineStr">
        <is>
          <t>21x69</t>
        </is>
      </c>
      <c r="F244" s="25" t="n">
        <v>726</v>
      </c>
      <c r="G244" s="25" t="n">
        <v>0.58</v>
      </c>
      <c r="H244" s="25">
        <f>G244*D244</f>
        <v/>
      </c>
      <c r="I244" s="25" t="n">
        <v>45</v>
      </c>
      <c r="J244" s="25" t="n">
        <v>31.5</v>
      </c>
      <c r="K244" s="37" t="n">
        <v>0</v>
      </c>
      <c r="L244" s="37" t="n">
        <v>51.75</v>
      </c>
      <c r="M244" s="37" t="n"/>
      <c r="N244" s="10">
        <f>G244*2400+K244+L244+M244</f>
        <v/>
      </c>
      <c r="O244" s="10">
        <f>(K244+M244)/G244</f>
        <v/>
      </c>
      <c r="P244" s="10">
        <f>L244/G244</f>
        <v/>
      </c>
      <c r="Q244" s="10">
        <f>N244*D244/1000</f>
        <v/>
      </c>
      <c r="R244" s="11">
        <f>K244*D244/1000</f>
        <v/>
      </c>
      <c r="S244" s="11">
        <f>L244*D244/1000</f>
        <v/>
      </c>
    </row>
    <row r="245" ht="46.5" customHeight="1">
      <c r="A245" s="25" t="inlineStr">
        <is>
          <t>LAJE</t>
        </is>
      </c>
      <c r="B245" s="25" t="inlineStr">
        <is>
          <t>L-5100</t>
        </is>
      </c>
      <c r="C245" s="25" t="inlineStr">
        <is>
          <t>L5100-FORMA E ARMAÇÃO-R00</t>
        </is>
      </c>
      <c r="D245" s="25" t="n">
        <v>4</v>
      </c>
      <c r="E245" s="25" t="inlineStr">
        <is>
          <t>21x125</t>
        </is>
      </c>
      <c r="F245" s="25" t="n">
        <v>495</v>
      </c>
      <c r="G245" s="25" t="n">
        <v>0.73</v>
      </c>
      <c r="H245" s="25">
        <f>G245*D245</f>
        <v/>
      </c>
      <c r="I245" s="25" t="n">
        <v>45</v>
      </c>
      <c r="J245" s="25" t="n">
        <v>31.5</v>
      </c>
      <c r="K245" s="37" t="n">
        <v>0</v>
      </c>
      <c r="L245" s="37" t="n">
        <v>35.28</v>
      </c>
      <c r="M245" s="37" t="n"/>
      <c r="N245" s="10">
        <f>G245*2400+K245+L245+M245</f>
        <v/>
      </c>
      <c r="O245" s="10">
        <f>(K245+M245)/G245</f>
        <v/>
      </c>
      <c r="P245" s="10">
        <f>L245/G245</f>
        <v/>
      </c>
      <c r="Q245" s="10">
        <f>N245*D245/1000</f>
        <v/>
      </c>
      <c r="R245" s="11">
        <f>K245*D245/1000</f>
        <v/>
      </c>
      <c r="S245" s="11">
        <f>L245*D245/1000</f>
        <v/>
      </c>
    </row>
    <row r="246" ht="46.5" customHeight="1">
      <c r="A246" s="25" t="inlineStr">
        <is>
          <t>LAJE</t>
        </is>
      </c>
      <c r="B246" s="25" t="inlineStr">
        <is>
          <t>L-5101</t>
        </is>
      </c>
      <c r="C246" s="25" t="inlineStr">
        <is>
          <t>L5101-FORMA E ARMAÇÃO-R00</t>
        </is>
      </c>
      <c r="D246" s="25" t="n">
        <v>1</v>
      </c>
      <c r="E246" s="25" t="inlineStr">
        <is>
          <t>21x88,5</t>
        </is>
      </c>
      <c r="F246" s="25" t="n">
        <v>495</v>
      </c>
      <c r="G246" s="25" t="n">
        <v>0.51</v>
      </c>
      <c r="H246" s="25">
        <f>G246*D246</f>
        <v/>
      </c>
      <c r="I246" s="25" t="n">
        <v>45</v>
      </c>
      <c r="J246" s="25" t="n">
        <v>31.5</v>
      </c>
      <c r="K246" s="37" t="n">
        <v>0</v>
      </c>
      <c r="L246" s="37" t="n">
        <v>35.28</v>
      </c>
      <c r="M246" s="37" t="n"/>
      <c r="N246" s="10">
        <f>G246*2400+K246+L246+M246</f>
        <v/>
      </c>
      <c r="O246" s="10">
        <f>(K246+M246)/G246</f>
        <v/>
      </c>
      <c r="P246" s="10">
        <f>L246/G246</f>
        <v/>
      </c>
      <c r="Q246" s="10">
        <f>N246*D246/1000</f>
        <v/>
      </c>
      <c r="R246" s="11">
        <f>K246*D246/1000</f>
        <v/>
      </c>
      <c r="S246" s="11">
        <f>L246*D246/1000</f>
        <v/>
      </c>
    </row>
    <row r="247" ht="46.5" customHeight="1">
      <c r="A247" s="25" t="inlineStr">
        <is>
          <t>LAJE</t>
        </is>
      </c>
      <c r="B247" s="25" t="inlineStr">
        <is>
          <t>L-5102</t>
        </is>
      </c>
      <c r="C247" s="25" t="inlineStr">
        <is>
          <t>L5102-FORMA E ARMAÇÃO-R00</t>
        </is>
      </c>
      <c r="D247" s="25" t="n">
        <v>2</v>
      </c>
      <c r="E247" s="25" t="inlineStr">
        <is>
          <t>21x69</t>
        </is>
      </c>
      <c r="F247" s="25" t="n">
        <v>495</v>
      </c>
      <c r="G247" s="25" t="n">
        <v>0.4</v>
      </c>
      <c r="H247" s="25">
        <f>G247*D247</f>
        <v/>
      </c>
      <c r="I247" s="25" t="n">
        <v>45</v>
      </c>
      <c r="J247" s="25" t="n">
        <v>31.5</v>
      </c>
      <c r="K247" s="37" t="n">
        <v>0</v>
      </c>
      <c r="L247" s="37" t="n">
        <v>35.28</v>
      </c>
      <c r="M247" s="37" t="n"/>
      <c r="N247" s="10">
        <f>G247*2400+K247+L247+M247</f>
        <v/>
      </c>
      <c r="O247" s="10">
        <f>(K247+M247)/G247</f>
        <v/>
      </c>
      <c r="P247" s="10">
        <f>L247/G247</f>
        <v/>
      </c>
      <c r="Q247" s="10">
        <f>N247*D247/1000</f>
        <v/>
      </c>
      <c r="R247" s="11">
        <f>K247*D247/1000</f>
        <v/>
      </c>
      <c r="S247" s="11">
        <f>L247*D247/1000</f>
        <v/>
      </c>
    </row>
    <row r="248" ht="46.5" customHeight="1">
      <c r="A248" s="25" t="inlineStr">
        <is>
          <t>LAJE</t>
        </is>
      </c>
      <c r="B248" s="25" t="inlineStr">
        <is>
          <t>L-5103</t>
        </is>
      </c>
      <c r="C248" s="25" t="inlineStr">
        <is>
          <t>L5103-FORMA E ARMAÇÃO-R00</t>
        </is>
      </c>
      <c r="D248" s="25" t="n">
        <v>1</v>
      </c>
      <c r="E248" s="25" t="inlineStr">
        <is>
          <t>21x125</t>
        </is>
      </c>
      <c r="F248" s="25" t="n">
        <v>484.5</v>
      </c>
      <c r="G248" s="25" t="n">
        <v>0.72</v>
      </c>
      <c r="H248" s="25">
        <f>G248*D248</f>
        <v/>
      </c>
      <c r="I248" s="25" t="n">
        <v>45</v>
      </c>
      <c r="J248" s="25" t="n">
        <v>31.5</v>
      </c>
      <c r="K248" s="37" t="n">
        <v>0</v>
      </c>
      <c r="L248" s="37" t="n">
        <v>34.54</v>
      </c>
      <c r="M248" s="37" t="n"/>
      <c r="N248" s="10">
        <f>G248*2400+K248+L248+M248</f>
        <v/>
      </c>
      <c r="O248" s="10">
        <f>(K248+M248)/G248</f>
        <v/>
      </c>
      <c r="P248" s="10">
        <f>L248/G248</f>
        <v/>
      </c>
      <c r="Q248" s="10">
        <f>N248*D248/1000</f>
        <v/>
      </c>
      <c r="R248" s="11">
        <f>K248*D248/1000</f>
        <v/>
      </c>
      <c r="S248" s="11">
        <f>L248*D248/1000</f>
        <v/>
      </c>
    </row>
    <row r="249" ht="46.5" customHeight="1">
      <c r="A249" s="25" t="inlineStr">
        <is>
          <t>LAJE</t>
        </is>
      </c>
      <c r="B249" s="25" t="inlineStr">
        <is>
          <t>L-5104</t>
        </is>
      </c>
      <c r="C249" s="25" t="inlineStr">
        <is>
          <t>L5104-FORMA E ARMAÇÃO-R00</t>
        </is>
      </c>
      <c r="D249" s="25" t="n">
        <v>1</v>
      </c>
      <c r="E249" s="25" t="inlineStr">
        <is>
          <t>21x88,5</t>
        </is>
      </c>
      <c r="F249" s="25" t="n">
        <v>484.5</v>
      </c>
      <c r="G249" s="25" t="n">
        <v>0.5</v>
      </c>
      <c r="H249" s="25">
        <f>G249*D249</f>
        <v/>
      </c>
      <c r="I249" s="25" t="n">
        <v>45</v>
      </c>
      <c r="J249" s="25" t="n">
        <v>31.5</v>
      </c>
      <c r="K249" s="37" t="n">
        <v>0</v>
      </c>
      <c r="L249" s="37" t="n">
        <v>34.54</v>
      </c>
      <c r="M249" s="37" t="n"/>
      <c r="N249" s="10">
        <f>G249*2400+K249+L249+M249</f>
        <v/>
      </c>
      <c r="O249" s="10">
        <f>(K249+M249)/G249</f>
        <v/>
      </c>
      <c r="P249" s="10">
        <f>L249/G249</f>
        <v/>
      </c>
      <c r="Q249" s="10">
        <f>N249*D249/1000</f>
        <v/>
      </c>
      <c r="R249" s="11">
        <f>K249*D249/1000</f>
        <v/>
      </c>
      <c r="S249" s="11">
        <f>L249*D249/1000</f>
        <v/>
      </c>
    </row>
    <row r="250" ht="46.5" customHeight="1">
      <c r="A250" s="25" t="inlineStr">
        <is>
          <t>LAJE</t>
        </is>
      </c>
      <c r="B250" s="25" t="inlineStr">
        <is>
          <t>L-5105</t>
        </is>
      </c>
      <c r="C250" s="25" t="inlineStr">
        <is>
          <t>L5105-FORMA E ARMAÇÃO-R00</t>
        </is>
      </c>
      <c r="D250" s="25" t="n">
        <v>2</v>
      </c>
      <c r="E250" s="25" t="inlineStr">
        <is>
          <t>21x125</t>
        </is>
      </c>
      <c r="F250" s="25" t="n">
        <v>484.5</v>
      </c>
      <c r="G250" s="25" t="n">
        <v>0.72</v>
      </c>
      <c r="H250" s="25">
        <f>G250*D250</f>
        <v/>
      </c>
      <c r="I250" s="25" t="n">
        <v>45</v>
      </c>
      <c r="J250" s="25" t="n">
        <v>31.5</v>
      </c>
      <c r="K250" s="37" t="n">
        <v>0</v>
      </c>
      <c r="L250" s="37" t="n">
        <v>34.54</v>
      </c>
      <c r="M250" s="37" t="n"/>
      <c r="N250" s="10">
        <f>G250*2400+K250+L250+M250</f>
        <v/>
      </c>
      <c r="O250" s="10">
        <f>(K250+M250)/G250</f>
        <v/>
      </c>
      <c r="P250" s="10">
        <f>L250/G250</f>
        <v/>
      </c>
      <c r="Q250" s="10">
        <f>N250*D250/1000</f>
        <v/>
      </c>
      <c r="R250" s="11">
        <f>K250*D250/1000</f>
        <v/>
      </c>
      <c r="S250" s="11">
        <f>L250*D250/1000</f>
        <v/>
      </c>
    </row>
    <row r="251" ht="46.5" customHeight="1">
      <c r="A251" s="25" t="inlineStr">
        <is>
          <t>LAJE</t>
        </is>
      </c>
      <c r="B251" s="25" t="inlineStr">
        <is>
          <t>L-5106</t>
        </is>
      </c>
      <c r="C251" s="25" t="inlineStr">
        <is>
          <t>L5106-FORMA E ARMAÇÃO-R00</t>
        </is>
      </c>
      <c r="D251" s="25" t="n">
        <v>2</v>
      </c>
      <c r="E251" s="25" t="inlineStr">
        <is>
          <t>21x69</t>
        </is>
      </c>
      <c r="F251" s="25" t="n">
        <v>484.5</v>
      </c>
      <c r="G251" s="25" t="n">
        <v>0.39</v>
      </c>
      <c r="H251" s="25">
        <f>G251*D251</f>
        <v/>
      </c>
      <c r="I251" s="25" t="n">
        <v>45</v>
      </c>
      <c r="J251" s="25" t="n">
        <v>31.5</v>
      </c>
      <c r="K251" s="37" t="n">
        <v>0</v>
      </c>
      <c r="L251" s="37" t="n">
        <v>34.54</v>
      </c>
      <c r="M251" s="37" t="n"/>
      <c r="N251" s="10">
        <f>G251*2400+K251+L251+M251</f>
        <v/>
      </c>
      <c r="O251" s="10">
        <f>(K251+M251)/G251</f>
        <v/>
      </c>
      <c r="P251" s="10">
        <f>L251/G251</f>
        <v/>
      </c>
      <c r="Q251" s="10">
        <f>N251*D251/1000</f>
        <v/>
      </c>
      <c r="R251" s="11">
        <f>K251*D251/1000</f>
        <v/>
      </c>
      <c r="S251" s="11">
        <f>L251*D251/1000</f>
        <v/>
      </c>
    </row>
    <row r="252" ht="46.5" customHeight="1">
      <c r="A252" s="25" t="inlineStr">
        <is>
          <t>LAJE</t>
        </is>
      </c>
      <c r="B252" s="25" t="inlineStr">
        <is>
          <t>L-5107</t>
        </is>
      </c>
      <c r="C252" s="25" t="inlineStr">
        <is>
          <t>L5107-FORMA E ARMAÇÃO-R00</t>
        </is>
      </c>
      <c r="D252" s="25" t="n">
        <v>1</v>
      </c>
      <c r="E252" s="25" t="inlineStr">
        <is>
          <t>21x125</t>
        </is>
      </c>
      <c r="F252" s="25" t="n">
        <v>484.5</v>
      </c>
      <c r="G252" s="25" t="n">
        <v>0.72</v>
      </c>
      <c r="H252" s="25">
        <f>G252*D252</f>
        <v/>
      </c>
      <c r="I252" s="25" t="n">
        <v>45</v>
      </c>
      <c r="J252" s="25" t="n">
        <v>31.5</v>
      </c>
      <c r="K252" s="37" t="n">
        <v>0</v>
      </c>
      <c r="L252" s="37" t="n">
        <v>34.54</v>
      </c>
      <c r="M252" s="37" t="n"/>
      <c r="N252" s="10">
        <f>G252*2400+K252+L252+M252</f>
        <v/>
      </c>
      <c r="O252" s="10">
        <f>(K252+M252)/G252</f>
        <v/>
      </c>
      <c r="P252" s="10">
        <f>L252/G252</f>
        <v/>
      </c>
      <c r="Q252" s="10">
        <f>N252*D252/1000</f>
        <v/>
      </c>
      <c r="R252" s="11">
        <f>K252*D252/1000</f>
        <v/>
      </c>
      <c r="S252" s="11">
        <f>L252*D252/1000</f>
        <v/>
      </c>
    </row>
    <row r="253" ht="46.5" customHeight="1">
      <c r="A253" s="25" t="inlineStr">
        <is>
          <t>LAJE</t>
        </is>
      </c>
      <c r="B253" s="25" t="inlineStr">
        <is>
          <t>L-5108</t>
        </is>
      </c>
      <c r="C253" s="25" t="inlineStr">
        <is>
          <t>L5108-FORMA E ARMAÇÃO-R00</t>
        </is>
      </c>
      <c r="D253" s="25" t="n">
        <v>1</v>
      </c>
      <c r="E253" s="25" t="inlineStr">
        <is>
          <t>21x125</t>
        </is>
      </c>
      <c r="F253" s="25" t="n">
        <v>735.5</v>
      </c>
      <c r="G253" s="25" t="n">
        <v>1.09</v>
      </c>
      <c r="H253" s="25">
        <f>G253*D253</f>
        <v/>
      </c>
      <c r="I253" s="25" t="n">
        <v>45</v>
      </c>
      <c r="J253" s="25" t="n">
        <v>31.5</v>
      </c>
      <c r="K253" s="37" t="n">
        <v>0</v>
      </c>
      <c r="L253" s="37" t="n">
        <v>52.43</v>
      </c>
      <c r="M253" s="37" t="n"/>
      <c r="N253" s="10">
        <f>G253*2400+K253+L253+M253</f>
        <v/>
      </c>
      <c r="O253" s="10">
        <f>(K253+M253)/G253</f>
        <v/>
      </c>
      <c r="P253" s="10">
        <f>L253/G253</f>
        <v/>
      </c>
      <c r="Q253" s="10">
        <f>N253*D253/1000</f>
        <v/>
      </c>
      <c r="R253" s="11">
        <f>K253*D253/1000</f>
        <v/>
      </c>
      <c r="S253" s="11">
        <f>L253*D253/1000</f>
        <v/>
      </c>
    </row>
    <row r="254" ht="46.5" customHeight="1">
      <c r="A254" s="25" t="inlineStr">
        <is>
          <t>LAJE</t>
        </is>
      </c>
      <c r="B254" s="25" t="inlineStr">
        <is>
          <t>L-5109</t>
        </is>
      </c>
      <c r="C254" s="25" t="inlineStr">
        <is>
          <t>L5109-FORMA E ARMAÇÃO-R00</t>
        </is>
      </c>
      <c r="D254" s="25" t="n">
        <v>1</v>
      </c>
      <c r="E254" s="25" t="inlineStr">
        <is>
          <t>21x88,5</t>
        </is>
      </c>
      <c r="F254" s="25" t="n">
        <v>735.5</v>
      </c>
      <c r="G254" s="25" t="n">
        <v>0.76</v>
      </c>
      <c r="H254" s="25">
        <f>G254*D254</f>
        <v/>
      </c>
      <c r="I254" s="25" t="n">
        <v>45</v>
      </c>
      <c r="J254" s="25" t="n">
        <v>31.5</v>
      </c>
      <c r="K254" s="37" t="n">
        <v>0</v>
      </c>
      <c r="L254" s="37" t="n">
        <v>52.43</v>
      </c>
      <c r="M254" s="37" t="n"/>
      <c r="N254" s="10">
        <f>G254*2400+K254+L254+M254</f>
        <v/>
      </c>
      <c r="O254" s="10">
        <f>(K254+M254)/G254</f>
        <v/>
      </c>
      <c r="P254" s="10">
        <f>L254/G254</f>
        <v/>
      </c>
      <c r="Q254" s="10">
        <f>N254*D254/1000</f>
        <v/>
      </c>
      <c r="R254" s="11">
        <f>K254*D254/1000</f>
        <v/>
      </c>
      <c r="S254" s="11">
        <f>L254*D254/1000</f>
        <v/>
      </c>
    </row>
    <row r="255" ht="46.5" customHeight="1">
      <c r="A255" s="25" t="inlineStr">
        <is>
          <t>LAJE</t>
        </is>
      </c>
      <c r="B255" s="25" t="inlineStr">
        <is>
          <t>L-5110</t>
        </is>
      </c>
      <c r="C255" s="25" t="inlineStr">
        <is>
          <t>L5110-FORMA E ARMAÇÃO-R00</t>
        </is>
      </c>
      <c r="D255" s="25" t="n">
        <v>2</v>
      </c>
      <c r="E255" s="25" t="inlineStr">
        <is>
          <t>21x125</t>
        </is>
      </c>
      <c r="F255" s="25" t="n">
        <v>735.5</v>
      </c>
      <c r="G255" s="25" t="n">
        <v>1.09</v>
      </c>
      <c r="H255" s="25">
        <f>G255*D255</f>
        <v/>
      </c>
      <c r="I255" s="25" t="n">
        <v>45</v>
      </c>
      <c r="J255" s="25" t="n">
        <v>31.5</v>
      </c>
      <c r="K255" s="37" t="n">
        <v>0</v>
      </c>
      <c r="L255" s="37" t="n">
        <v>52.43</v>
      </c>
      <c r="M255" s="37" t="n"/>
      <c r="N255" s="10">
        <f>G255*2400+K255+L255+M255</f>
        <v/>
      </c>
      <c r="O255" s="10">
        <f>(K255+M255)/G255</f>
        <v/>
      </c>
      <c r="P255" s="10">
        <f>L255/G255</f>
        <v/>
      </c>
      <c r="Q255" s="10">
        <f>N255*D255/1000</f>
        <v/>
      </c>
      <c r="R255" s="11">
        <f>K255*D255/1000</f>
        <v/>
      </c>
      <c r="S255" s="11">
        <f>L255*D255/1000</f>
        <v/>
      </c>
    </row>
    <row r="256" ht="46.5" customHeight="1">
      <c r="A256" s="25" t="inlineStr">
        <is>
          <t>LAJE</t>
        </is>
      </c>
      <c r="B256" s="25" t="inlineStr">
        <is>
          <t>L-5111</t>
        </is>
      </c>
      <c r="C256" s="25" t="inlineStr">
        <is>
          <t>L5111-FORMA E ARMAÇÃO-R00</t>
        </is>
      </c>
      <c r="D256" s="25" t="n">
        <v>2</v>
      </c>
      <c r="E256" s="25" t="inlineStr">
        <is>
          <t>21x69</t>
        </is>
      </c>
      <c r="F256" s="25" t="n">
        <v>735.5</v>
      </c>
      <c r="G256" s="25" t="n">
        <v>0.59</v>
      </c>
      <c r="H256" s="25">
        <f>G256*D256</f>
        <v/>
      </c>
      <c r="I256" s="25" t="n">
        <v>45</v>
      </c>
      <c r="J256" s="25" t="n">
        <v>31.5</v>
      </c>
      <c r="K256" s="37" t="n">
        <v>0</v>
      </c>
      <c r="L256" s="37" t="n">
        <v>52.43</v>
      </c>
      <c r="M256" s="37" t="n"/>
      <c r="N256" s="10">
        <f>G256*2400+K256+L256+M256</f>
        <v/>
      </c>
      <c r="O256" s="10">
        <f>(K256+M256)/G256</f>
        <v/>
      </c>
      <c r="P256" s="10">
        <f>L256/G256</f>
        <v/>
      </c>
      <c r="Q256" s="10">
        <f>N256*D256/1000</f>
        <v/>
      </c>
      <c r="R256" s="11">
        <f>K256*D256/1000</f>
        <v/>
      </c>
      <c r="S256" s="11">
        <f>L256*D256/1000</f>
        <v/>
      </c>
    </row>
    <row r="257" ht="46.5" customHeight="1">
      <c r="A257" s="25" t="inlineStr">
        <is>
          <t>LAJE</t>
        </is>
      </c>
      <c r="B257" s="25" t="inlineStr">
        <is>
          <t>L-5112</t>
        </is>
      </c>
      <c r="C257" s="25" t="inlineStr">
        <is>
          <t>L5112-FORMA E ARMAÇÃO-R00</t>
        </is>
      </c>
      <c r="D257" s="25" t="n">
        <v>1</v>
      </c>
      <c r="E257" s="25" t="inlineStr">
        <is>
          <t>21x125</t>
        </is>
      </c>
      <c r="F257" s="25" t="n">
        <v>735.5</v>
      </c>
      <c r="G257" s="25" t="n">
        <v>1.09</v>
      </c>
      <c r="H257" s="25">
        <f>G257*D257</f>
        <v/>
      </c>
      <c r="I257" s="25" t="n">
        <v>45</v>
      </c>
      <c r="J257" s="25" t="n">
        <v>31.5</v>
      </c>
      <c r="K257" s="37" t="n">
        <v>0</v>
      </c>
      <c r="L257" s="37" t="n">
        <v>52.43</v>
      </c>
      <c r="M257" s="37" t="n"/>
      <c r="N257" s="10">
        <f>G257*2400+K257+L257+M257</f>
        <v/>
      </c>
      <c r="O257" s="10">
        <f>(K257+M257)/G257</f>
        <v/>
      </c>
      <c r="P257" s="10">
        <f>L257/G257</f>
        <v/>
      </c>
      <c r="Q257" s="10">
        <f>N257*D257/1000</f>
        <v/>
      </c>
      <c r="R257" s="11">
        <f>K257*D257/1000</f>
        <v/>
      </c>
      <c r="S257" s="11">
        <f>L257*D257/1000</f>
        <v/>
      </c>
    </row>
    <row r="258" ht="46.5" customHeight="1">
      <c r="A258" s="25" t="inlineStr">
        <is>
          <t>LAJE</t>
        </is>
      </c>
      <c r="B258" s="25" t="inlineStr">
        <is>
          <t>L-5113</t>
        </is>
      </c>
      <c r="C258" s="25" t="inlineStr">
        <is>
          <t>L5113-FORMA E ARMAÇÃO-R00</t>
        </is>
      </c>
      <c r="D258" s="25" t="n">
        <v>1</v>
      </c>
      <c r="E258" s="25" t="inlineStr">
        <is>
          <t>21x125</t>
        </is>
      </c>
      <c r="F258" s="25" t="n">
        <v>850</v>
      </c>
      <c r="G258" s="25" t="n">
        <v>1.25</v>
      </c>
      <c r="H258" s="25">
        <f>G258*D258</f>
        <v/>
      </c>
      <c r="I258" s="25" t="n">
        <v>45</v>
      </c>
      <c r="J258" s="25" t="n">
        <v>31.5</v>
      </c>
      <c r="K258" s="37" t="n">
        <v>0</v>
      </c>
      <c r="L258" s="37" t="n">
        <v>60.59</v>
      </c>
      <c r="M258" s="37" t="n"/>
      <c r="N258" s="10">
        <f>G258*2400+K258+L258+M258</f>
        <v/>
      </c>
      <c r="O258" s="10">
        <f>(K258+M258)/G258</f>
        <v/>
      </c>
      <c r="P258" s="10">
        <f>L258/G258</f>
        <v/>
      </c>
      <c r="Q258" s="10">
        <f>N258*D258/1000</f>
        <v/>
      </c>
      <c r="R258" s="11">
        <f>K258*D258/1000</f>
        <v/>
      </c>
      <c r="S258" s="11">
        <f>L258*D258/1000</f>
        <v/>
      </c>
    </row>
    <row r="259" ht="46.5" customHeight="1">
      <c r="A259" s="25" t="inlineStr">
        <is>
          <t>LAJE</t>
        </is>
      </c>
      <c r="B259" s="25" t="inlineStr">
        <is>
          <t>L-5114</t>
        </is>
      </c>
      <c r="C259" s="25" t="inlineStr">
        <is>
          <t>L5114-FORMA E ARMAÇÃO-R00</t>
        </is>
      </c>
      <c r="D259" s="25" t="n">
        <v>2</v>
      </c>
      <c r="E259" s="25" t="inlineStr">
        <is>
          <t>21x125</t>
        </is>
      </c>
      <c r="F259" s="25" t="n">
        <v>850</v>
      </c>
      <c r="G259" s="25" t="n">
        <v>1.26</v>
      </c>
      <c r="H259" s="25">
        <f>G259*D259</f>
        <v/>
      </c>
      <c r="I259" s="25" t="n">
        <v>45</v>
      </c>
      <c r="J259" s="25" t="n">
        <v>31.5</v>
      </c>
      <c r="K259" s="37" t="n">
        <v>0</v>
      </c>
      <c r="L259" s="37" t="n">
        <v>60.59</v>
      </c>
      <c r="M259" s="37" t="n"/>
      <c r="N259" s="10">
        <f>G259*2400+K259+L259+M259</f>
        <v/>
      </c>
      <c r="O259" s="10">
        <f>(K259+M259)/G259</f>
        <v/>
      </c>
      <c r="P259" s="10">
        <f>L259/G259</f>
        <v/>
      </c>
      <c r="Q259" s="10">
        <f>N259*D259/1000</f>
        <v/>
      </c>
      <c r="R259" s="11">
        <f>K259*D259/1000</f>
        <v/>
      </c>
      <c r="S259" s="11">
        <f>L259*D259/1000</f>
        <v/>
      </c>
    </row>
    <row r="260" ht="46.5" customHeight="1">
      <c r="A260" s="25" t="inlineStr">
        <is>
          <t>LAJE</t>
        </is>
      </c>
      <c r="B260" s="25" t="inlineStr">
        <is>
          <t>L-5115</t>
        </is>
      </c>
      <c r="C260" s="25" t="inlineStr">
        <is>
          <t>L5115-FORMA E ARMAÇÃO-R00</t>
        </is>
      </c>
      <c r="D260" s="25" t="n">
        <v>1</v>
      </c>
      <c r="E260" s="25" t="inlineStr">
        <is>
          <t>21x69</t>
        </is>
      </c>
      <c r="F260" s="25" t="n">
        <v>850</v>
      </c>
      <c r="G260" s="25" t="n">
        <v>0.68</v>
      </c>
      <c r="H260" s="25">
        <f>G260*D260</f>
        <v/>
      </c>
      <c r="I260" s="25" t="n">
        <v>45</v>
      </c>
      <c r="J260" s="25" t="n">
        <v>31.5</v>
      </c>
      <c r="K260" s="37" t="n">
        <v>0</v>
      </c>
      <c r="L260" s="37" t="n">
        <v>60.59</v>
      </c>
      <c r="M260" s="37" t="n"/>
      <c r="N260" s="10">
        <f>G260*2400+K260+L260+M260</f>
        <v/>
      </c>
      <c r="O260" s="10">
        <f>(K260+M260)/G260</f>
        <v/>
      </c>
      <c r="P260" s="10">
        <f>L260/G260</f>
        <v/>
      </c>
      <c r="Q260" s="10">
        <f>N260*D260/1000</f>
        <v/>
      </c>
      <c r="R260" s="11">
        <f>K260*D260/1000</f>
        <v/>
      </c>
      <c r="S260" s="11">
        <f>L260*D260/1000</f>
        <v/>
      </c>
    </row>
    <row r="261" ht="46.5" customHeight="1">
      <c r="A261" s="25" t="inlineStr">
        <is>
          <t>LAJE</t>
        </is>
      </c>
      <c r="B261" s="25" t="inlineStr">
        <is>
          <t>L-5116</t>
        </is>
      </c>
      <c r="C261" s="25" t="inlineStr">
        <is>
          <t>L5116-FORMA E ARMAÇÃO-R00</t>
        </is>
      </c>
      <c r="D261" s="25" t="n">
        <v>1</v>
      </c>
      <c r="E261" s="25" t="inlineStr">
        <is>
          <t>21x125</t>
        </is>
      </c>
      <c r="F261" s="25" t="n">
        <v>859.5</v>
      </c>
      <c r="G261" s="25" t="n">
        <v>1.27</v>
      </c>
      <c r="H261" s="25">
        <f>G261*D261</f>
        <v/>
      </c>
      <c r="I261" s="25" t="n">
        <v>45</v>
      </c>
      <c r="J261" s="25" t="n">
        <v>31.5</v>
      </c>
      <c r="K261" s="37" t="n">
        <v>0</v>
      </c>
      <c r="L261" s="37" t="n">
        <v>61.27</v>
      </c>
      <c r="M261" s="37" t="n"/>
      <c r="N261" s="10">
        <f>G261*2400+K261+L261+M261</f>
        <v/>
      </c>
      <c r="O261" s="10">
        <f>(K261+M261)/G261</f>
        <v/>
      </c>
      <c r="P261" s="10">
        <f>L261/G261</f>
        <v/>
      </c>
      <c r="Q261" s="10">
        <f>N261*D261/1000</f>
        <v/>
      </c>
      <c r="R261" s="11">
        <f>K261*D261/1000</f>
        <v/>
      </c>
      <c r="S261" s="11">
        <f>L261*D261/1000</f>
        <v/>
      </c>
    </row>
    <row r="262" ht="46.5" customHeight="1">
      <c r="A262" s="25" t="inlineStr">
        <is>
          <t>LAJE</t>
        </is>
      </c>
      <c r="B262" s="25" t="inlineStr">
        <is>
          <t>L-5117</t>
        </is>
      </c>
      <c r="C262" s="25" t="inlineStr">
        <is>
          <t>L5117-FORMA E ARMAÇÃO-R00</t>
        </is>
      </c>
      <c r="D262" s="25" t="n">
        <v>1</v>
      </c>
      <c r="E262" s="25" t="inlineStr">
        <is>
          <t>21x69</t>
        </is>
      </c>
      <c r="F262" s="25" t="n">
        <v>859.5</v>
      </c>
      <c r="G262" s="25" t="n">
        <v>0.6899999999999999</v>
      </c>
      <c r="H262" s="25">
        <f>G262*D262</f>
        <v/>
      </c>
      <c r="I262" s="25" t="n">
        <v>45</v>
      </c>
      <c r="J262" s="25" t="n">
        <v>31.5</v>
      </c>
      <c r="K262" s="37" t="n">
        <v>0</v>
      </c>
      <c r="L262" s="37" t="n">
        <v>61.27</v>
      </c>
      <c r="M262" s="37" t="n"/>
      <c r="N262" s="10">
        <f>G262*2400+K262+L262+M262</f>
        <v/>
      </c>
      <c r="O262" s="10">
        <f>(K262+M262)/G262</f>
        <v/>
      </c>
      <c r="P262" s="10">
        <f>L262/G262</f>
        <v/>
      </c>
      <c r="Q262" s="10">
        <f>N262*D262/1000</f>
        <v/>
      </c>
      <c r="R262" s="11">
        <f>K262*D262/1000</f>
        <v/>
      </c>
      <c r="S262" s="11">
        <f>L262*D262/1000</f>
        <v/>
      </c>
    </row>
    <row r="263" ht="46.5" customHeight="1">
      <c r="A263" s="25" t="inlineStr">
        <is>
          <t>LAJE</t>
        </is>
      </c>
      <c r="B263" s="25" t="inlineStr">
        <is>
          <t>L-5118</t>
        </is>
      </c>
      <c r="C263" s="25" t="inlineStr">
        <is>
          <t>L5118-FORMA E ARMAÇÃO-R00</t>
        </is>
      </c>
      <c r="D263" s="25" t="n">
        <v>4</v>
      </c>
      <c r="E263" s="25" t="inlineStr">
        <is>
          <t>21x125</t>
        </is>
      </c>
      <c r="F263" s="25" t="n">
        <v>850</v>
      </c>
      <c r="G263" s="25" t="n">
        <v>1.27</v>
      </c>
      <c r="H263" s="25">
        <f>G263*D263</f>
        <v/>
      </c>
      <c r="I263" s="25" t="n">
        <v>45</v>
      </c>
      <c r="J263" s="25" t="n">
        <v>31.5</v>
      </c>
      <c r="K263" s="37" t="n">
        <v>0</v>
      </c>
      <c r="L263" s="37" t="n">
        <v>61.27</v>
      </c>
      <c r="M263" s="37" t="n"/>
      <c r="N263" s="10">
        <f>G263*2400+K263+L263+M263</f>
        <v/>
      </c>
      <c r="O263" s="10">
        <f>(K263+M263)/G263</f>
        <v/>
      </c>
      <c r="P263" s="10">
        <f>L263/G263</f>
        <v/>
      </c>
      <c r="Q263" s="10">
        <f>N263*D263/1000</f>
        <v/>
      </c>
      <c r="R263" s="11">
        <f>K263*D263/1000</f>
        <v/>
      </c>
      <c r="S263" s="11">
        <f>L263*D263/1000</f>
        <v/>
      </c>
    </row>
    <row r="264" ht="46.5" customHeight="1">
      <c r="A264" s="25" t="inlineStr">
        <is>
          <t>LAJE</t>
        </is>
      </c>
      <c r="B264" s="25" t="inlineStr">
        <is>
          <t>L-5119</t>
        </is>
      </c>
      <c r="C264" s="25" t="inlineStr">
        <is>
          <t>L5119-FORMA E ARMAÇÃO-R00</t>
        </is>
      </c>
      <c r="D264" s="25" t="n">
        <v>1</v>
      </c>
      <c r="E264" s="25" t="inlineStr">
        <is>
          <t>21x90</t>
        </is>
      </c>
      <c r="F264" s="25" t="n">
        <v>859.5</v>
      </c>
      <c r="G264" s="25" t="n">
        <v>0.91</v>
      </c>
      <c r="H264" s="25">
        <f>G264*D264</f>
        <v/>
      </c>
      <c r="I264" s="25" t="n">
        <v>45</v>
      </c>
      <c r="J264" s="25" t="n">
        <v>31.5</v>
      </c>
      <c r="K264" s="37" t="n">
        <v>0</v>
      </c>
      <c r="L264" s="37" t="n">
        <v>61.27</v>
      </c>
      <c r="M264" s="37" t="n"/>
      <c r="N264" s="10">
        <f>G264*2400+K264+L264+M264</f>
        <v/>
      </c>
      <c r="O264" s="10">
        <f>(K264+M264)/G264</f>
        <v/>
      </c>
      <c r="P264" s="10">
        <f>L264/G264</f>
        <v/>
      </c>
      <c r="Q264" s="10">
        <f>N264*D264/1000</f>
        <v/>
      </c>
      <c r="R264" s="11">
        <f>K264*D264/1000</f>
        <v/>
      </c>
      <c r="S264" s="11">
        <f>L264*D264/1000</f>
        <v/>
      </c>
    </row>
    <row r="265" ht="46.5" customHeight="1">
      <c r="A265" s="25" t="inlineStr">
        <is>
          <t>LAJE</t>
        </is>
      </c>
      <c r="B265" s="25" t="inlineStr">
        <is>
          <t>L-5119A</t>
        </is>
      </c>
      <c r="C265" s="25" t="inlineStr">
        <is>
          <t>L5119A-FORMA E ARMAÇÃO-R00</t>
        </is>
      </c>
      <c r="D265" s="25" t="n">
        <v>1</v>
      </c>
      <c r="E265" s="25" t="inlineStr">
        <is>
          <t>21x125</t>
        </is>
      </c>
      <c r="F265" s="25" t="n">
        <v>234.5</v>
      </c>
      <c r="G265" s="25" t="n">
        <v>0.35</v>
      </c>
      <c r="H265" s="25">
        <f>G265*D265</f>
        <v/>
      </c>
      <c r="I265" s="25" t="n">
        <v>45</v>
      </c>
      <c r="J265" s="25" t="n">
        <v>31.5</v>
      </c>
      <c r="K265" s="37" t="n">
        <v>0</v>
      </c>
      <c r="L265" s="37" t="n">
        <v>9.289999999999999</v>
      </c>
      <c r="M265" s="37" t="n"/>
      <c r="N265" s="10">
        <f>G265*2400+K265+L265+M265</f>
        <v/>
      </c>
      <c r="O265" s="10">
        <f>(K265+M265)/G265</f>
        <v/>
      </c>
      <c r="P265" s="10">
        <f>L265/G265</f>
        <v/>
      </c>
      <c r="Q265" s="10">
        <f>N265*D265/1000</f>
        <v/>
      </c>
      <c r="R265" s="11">
        <f>K265*D265/1000</f>
        <v/>
      </c>
      <c r="S265" s="11">
        <f>L265*D265/1000</f>
        <v/>
      </c>
    </row>
    <row r="266" ht="46.5" customHeight="1">
      <c r="A266" s="25" t="inlineStr">
        <is>
          <t>LAJE</t>
        </is>
      </c>
      <c r="B266" s="25" t="inlineStr">
        <is>
          <t>L-5120</t>
        </is>
      </c>
      <c r="C266" s="25" t="inlineStr">
        <is>
          <t>L5120-FORMA E ARMAÇÃO-R00</t>
        </is>
      </c>
      <c r="D266" s="25" t="n">
        <v>1</v>
      </c>
      <c r="E266" s="25" t="inlineStr">
        <is>
          <t>21x71</t>
        </is>
      </c>
      <c r="F266" s="25" t="n">
        <v>234.5</v>
      </c>
      <c r="G266" s="25" t="n">
        <v>0.2</v>
      </c>
      <c r="H266" s="25">
        <f>G266*D266</f>
        <v/>
      </c>
      <c r="I266" s="25" t="n">
        <v>45</v>
      </c>
      <c r="J266" s="25" t="n">
        <v>31.5</v>
      </c>
      <c r="K266" s="37" t="n">
        <v>0</v>
      </c>
      <c r="L266" s="37" t="n">
        <v>9.289999999999999</v>
      </c>
      <c r="M266" s="37" t="n"/>
      <c r="N266" s="10">
        <f>G266*2400+K266+L266+M266</f>
        <v/>
      </c>
      <c r="O266" s="10">
        <f>(K266+M266)/G266</f>
        <v/>
      </c>
      <c r="P266" s="10">
        <f>L266/G266</f>
        <v/>
      </c>
      <c r="Q266" s="10">
        <f>N266*D266/1000</f>
        <v/>
      </c>
      <c r="R266" s="11">
        <f>K266*D266/1000</f>
        <v/>
      </c>
      <c r="S266" s="11">
        <f>L266*D266/1000</f>
        <v/>
      </c>
    </row>
    <row r="267" ht="46.5" customHeight="1">
      <c r="A267" s="25" t="inlineStr">
        <is>
          <t>LAJE</t>
        </is>
      </c>
      <c r="B267" s="25" t="inlineStr">
        <is>
          <t>L-5121</t>
        </is>
      </c>
      <c r="C267" s="25" t="inlineStr">
        <is>
          <t>L5121-FORMA E ARMAÇÃO-R00</t>
        </is>
      </c>
      <c r="D267" s="25" t="n">
        <v>1</v>
      </c>
      <c r="E267" s="25" t="inlineStr">
        <is>
          <t>21x125</t>
        </is>
      </c>
      <c r="F267" s="25" t="n">
        <v>234.5</v>
      </c>
      <c r="G267" s="25" t="n">
        <v>0.35</v>
      </c>
      <c r="H267" s="25">
        <f>G267*D267</f>
        <v/>
      </c>
      <c r="I267" s="25" t="n">
        <v>45</v>
      </c>
      <c r="J267" s="25" t="n">
        <v>31.5</v>
      </c>
      <c r="K267" s="37" t="n">
        <v>0</v>
      </c>
      <c r="L267" s="37" t="n">
        <v>9.289999999999999</v>
      </c>
      <c r="M267" s="37" t="n"/>
      <c r="N267" s="10">
        <f>G267*2400+K267+L267+M267</f>
        <v/>
      </c>
      <c r="O267" s="10">
        <f>(K267+M267)/G267</f>
        <v/>
      </c>
      <c r="P267" s="10">
        <f>L267/G267</f>
        <v/>
      </c>
      <c r="Q267" s="10">
        <f>N267*D267/1000</f>
        <v/>
      </c>
      <c r="R267" s="11">
        <f>K267*D267/1000</f>
        <v/>
      </c>
      <c r="S267" s="11">
        <f>L267*D267/1000</f>
        <v/>
      </c>
    </row>
    <row r="268" ht="46.5" customHeight="1">
      <c r="A268" s="25" t="inlineStr">
        <is>
          <t>LAJE</t>
        </is>
      </c>
      <c r="B268" s="25" t="inlineStr">
        <is>
          <t>L-5122</t>
        </is>
      </c>
      <c r="C268" s="25" t="inlineStr">
        <is>
          <t>L5122-FORMA E ARMAÇÃO-R00</t>
        </is>
      </c>
      <c r="D268" s="25" t="n">
        <v>1</v>
      </c>
      <c r="E268" s="25" t="inlineStr">
        <is>
          <t>21x89,5</t>
        </is>
      </c>
      <c r="F268" s="25" t="n">
        <v>234.5</v>
      </c>
      <c r="G268" s="25" t="n">
        <v>0.25</v>
      </c>
      <c r="H268" s="25">
        <f>G268*D268</f>
        <v/>
      </c>
      <c r="I268" s="25" t="n">
        <v>45</v>
      </c>
      <c r="J268" s="25" t="n">
        <v>31.5</v>
      </c>
      <c r="K268" s="37" t="n">
        <v>0</v>
      </c>
      <c r="L268" s="37" t="n">
        <v>9.289999999999999</v>
      </c>
      <c r="M268" s="37" t="n"/>
      <c r="N268" s="10">
        <f>G268*2400+K268+L268+M268</f>
        <v/>
      </c>
      <c r="O268" s="10">
        <f>(K268+M268)/G268</f>
        <v/>
      </c>
      <c r="P268" s="10">
        <f>L268/G268</f>
        <v/>
      </c>
      <c r="Q268" s="10">
        <f>N268*D268/1000</f>
        <v/>
      </c>
      <c r="R268" s="11">
        <f>K268*D268/1000</f>
        <v/>
      </c>
      <c r="S268" s="11">
        <f>L268*D268/1000</f>
        <v/>
      </c>
    </row>
    <row r="269" ht="46.5" customHeight="1">
      <c r="A269" s="25" t="inlineStr">
        <is>
          <t>LAJE</t>
        </is>
      </c>
      <c r="B269" s="25" t="inlineStr">
        <is>
          <t>L-5123</t>
        </is>
      </c>
      <c r="C269" s="25" t="inlineStr">
        <is>
          <t>L5123-FORMA E ARMAÇÃO-R00</t>
        </is>
      </c>
      <c r="D269" s="25" t="n">
        <v>1</v>
      </c>
      <c r="E269" s="25" t="inlineStr">
        <is>
          <t>21x65</t>
        </is>
      </c>
      <c r="F269" s="25" t="n">
        <v>234.5</v>
      </c>
      <c r="G269" s="25" t="n">
        <v>0.18</v>
      </c>
      <c r="H269" s="25">
        <f>G269*D269</f>
        <v/>
      </c>
      <c r="I269" s="25" t="n">
        <v>45</v>
      </c>
      <c r="J269" s="25" t="n">
        <v>31.5</v>
      </c>
      <c r="K269" s="37" t="n">
        <v>0</v>
      </c>
      <c r="L269" s="37" t="n">
        <v>9.289999999999999</v>
      </c>
      <c r="M269" s="37" t="n"/>
      <c r="N269" s="10">
        <f>G269*2400+K269+L269+M269</f>
        <v/>
      </c>
      <c r="O269" s="10">
        <f>(K269+M269)/G269</f>
        <v/>
      </c>
      <c r="P269" s="10">
        <f>L269/G269</f>
        <v/>
      </c>
      <c r="Q269" s="10">
        <f>N269*D269/1000</f>
        <v/>
      </c>
      <c r="R269" s="11">
        <f>K269*D269/1000</f>
        <v/>
      </c>
      <c r="S269" s="11">
        <f>L269*D269/1000</f>
        <v/>
      </c>
    </row>
    <row r="270" ht="46.5" customHeight="1">
      <c r="A270" s="25" t="inlineStr">
        <is>
          <t>LAJE</t>
        </is>
      </c>
      <c r="B270" s="25" t="inlineStr">
        <is>
          <t>L-5124</t>
        </is>
      </c>
      <c r="C270" s="25" t="inlineStr">
        <is>
          <t>L5124-FORMA E ARMAÇÃO-R00</t>
        </is>
      </c>
      <c r="D270" s="25" t="n">
        <v>8</v>
      </c>
      <c r="E270" s="25" t="inlineStr">
        <is>
          <t>21x125</t>
        </is>
      </c>
      <c r="F270" s="25" t="n">
        <v>714.5</v>
      </c>
      <c r="G270" s="25" t="n">
        <v>1.06</v>
      </c>
      <c r="H270" s="25">
        <f>G270*D270</f>
        <v/>
      </c>
      <c r="I270" s="25" t="n">
        <v>45</v>
      </c>
      <c r="J270" s="25" t="n">
        <v>31.5</v>
      </c>
      <c r="K270" s="37" t="n">
        <v>0</v>
      </c>
      <c r="L270" s="37" t="n">
        <v>50.93</v>
      </c>
      <c r="M270" s="37" t="n"/>
      <c r="N270" s="10">
        <f>G270*2400+K270+L270+M270</f>
        <v/>
      </c>
      <c r="O270" s="10">
        <f>(K270+M270)/G270</f>
        <v/>
      </c>
      <c r="P270" s="10">
        <f>L270/G270</f>
        <v/>
      </c>
      <c r="Q270" s="10">
        <f>N270*D270/1000</f>
        <v/>
      </c>
      <c r="R270" s="11">
        <f>K270*D270/1000</f>
        <v/>
      </c>
      <c r="S270" s="11">
        <f>L270*D270/1000</f>
        <v/>
      </c>
    </row>
    <row r="271" ht="46.5" customHeight="1">
      <c r="A271" s="25" t="inlineStr">
        <is>
          <t>LAJE</t>
        </is>
      </c>
      <c r="B271" s="25" t="inlineStr">
        <is>
          <t>L-5125</t>
        </is>
      </c>
      <c r="C271" s="25" t="inlineStr">
        <is>
          <t>L5125-FORMA E ARMAÇÃO-R00</t>
        </is>
      </c>
      <c r="D271" s="25" t="n">
        <v>1</v>
      </c>
      <c r="E271" s="25" t="inlineStr">
        <is>
          <t>21x70</t>
        </is>
      </c>
      <c r="F271" s="25" t="n">
        <v>714.5</v>
      </c>
      <c r="G271" s="25" t="n">
        <v>0.58</v>
      </c>
      <c r="H271" s="25">
        <f>G271*D271</f>
        <v/>
      </c>
      <c r="I271" s="25" t="n">
        <v>45</v>
      </c>
      <c r="J271" s="25" t="n">
        <v>31.5</v>
      </c>
      <c r="K271" s="37" t="n">
        <v>0</v>
      </c>
      <c r="L271" s="37" t="n">
        <v>50.93</v>
      </c>
      <c r="M271" s="37" t="n"/>
      <c r="N271" s="10">
        <f>G271*2400+K271+L271+M271</f>
        <v/>
      </c>
      <c r="O271" s="10">
        <f>(K271+M271)/G271</f>
        <v/>
      </c>
      <c r="P271" s="10">
        <f>L271/G271</f>
        <v/>
      </c>
      <c r="Q271" s="10">
        <f>N271*D271/1000</f>
        <v/>
      </c>
      <c r="R271" s="11">
        <f>K271*D271/1000</f>
        <v/>
      </c>
      <c r="S271" s="11">
        <f>L271*D271/1000</f>
        <v/>
      </c>
    </row>
    <row r="272" ht="46.5" customHeight="1">
      <c r="A272" s="25" t="inlineStr">
        <is>
          <t>LAJE</t>
        </is>
      </c>
      <c r="B272" s="25" t="inlineStr">
        <is>
          <t>L-5126</t>
        </is>
      </c>
      <c r="C272" s="25" t="inlineStr">
        <is>
          <t>L5126-FORMA E ARMAÇÃO-R00</t>
        </is>
      </c>
      <c r="D272" s="25" t="n">
        <v>1</v>
      </c>
      <c r="E272" s="25" t="inlineStr">
        <is>
          <t>21x125</t>
        </is>
      </c>
      <c r="F272" s="25" t="n">
        <v>714.5</v>
      </c>
      <c r="G272" s="25" t="n">
        <v>1.06</v>
      </c>
      <c r="H272" s="25">
        <f>G272*D272</f>
        <v/>
      </c>
      <c r="I272" s="25" t="n">
        <v>45</v>
      </c>
      <c r="J272" s="25" t="n">
        <v>31.5</v>
      </c>
      <c r="K272" s="37" t="n">
        <v>0</v>
      </c>
      <c r="L272" s="37" t="n">
        <v>50.93</v>
      </c>
      <c r="M272" s="37" t="n"/>
      <c r="N272" s="10">
        <f>G272*2400+K272+L272+M272</f>
        <v/>
      </c>
      <c r="O272" s="10">
        <f>(K272+M272)/G272</f>
        <v/>
      </c>
      <c r="P272" s="10">
        <f>L272/G272</f>
        <v/>
      </c>
      <c r="Q272" s="10">
        <f>N272*D272/1000</f>
        <v/>
      </c>
      <c r="R272" s="11">
        <f>K272*D272/1000</f>
        <v/>
      </c>
      <c r="S272" s="11">
        <f>L272*D272/1000</f>
        <v/>
      </c>
    </row>
    <row r="273" ht="46.5" customHeight="1">
      <c r="A273" s="25" t="inlineStr">
        <is>
          <t>LAJE</t>
        </is>
      </c>
      <c r="B273" s="25" t="inlineStr">
        <is>
          <t>L-5127</t>
        </is>
      </c>
      <c r="C273" s="25" t="inlineStr">
        <is>
          <t>L5127-FORMA E ARMAÇÃO-R00</t>
        </is>
      </c>
      <c r="D273" s="25" t="n">
        <v>1</v>
      </c>
      <c r="E273" s="25" t="inlineStr">
        <is>
          <t>21x125</t>
        </is>
      </c>
      <c r="F273" s="25" t="n">
        <v>714.5</v>
      </c>
      <c r="G273" s="25" t="n">
        <v>1.05</v>
      </c>
      <c r="H273" s="25">
        <f>G273*D273</f>
        <v/>
      </c>
      <c r="I273" s="25" t="n">
        <v>45</v>
      </c>
      <c r="J273" s="25" t="n">
        <v>31.5</v>
      </c>
      <c r="K273" s="37" t="n">
        <v>0</v>
      </c>
      <c r="L273" s="37" t="n">
        <v>50.93</v>
      </c>
      <c r="M273" s="37" t="n"/>
      <c r="N273" s="10">
        <f>G273*2400+K273+L273+M273</f>
        <v/>
      </c>
      <c r="O273" s="10">
        <f>(K273+M273)/G273</f>
        <v/>
      </c>
      <c r="P273" s="10">
        <f>L273/G273</f>
        <v/>
      </c>
      <c r="Q273" s="10">
        <f>N273*D273/1000</f>
        <v/>
      </c>
      <c r="R273" s="11">
        <f>K273*D273/1000</f>
        <v/>
      </c>
      <c r="S273" s="11">
        <f>L273*D273/1000</f>
        <v/>
      </c>
    </row>
    <row r="274" ht="46.5" customHeight="1">
      <c r="A274" s="25" t="inlineStr">
        <is>
          <t>LAJE</t>
        </is>
      </c>
      <c r="B274" s="25" t="inlineStr">
        <is>
          <t>L-5128</t>
        </is>
      </c>
      <c r="C274" s="25" t="inlineStr">
        <is>
          <t>L5128-FORMA E ARMAÇÃO-R00</t>
        </is>
      </c>
      <c r="D274" s="25" t="n">
        <v>1</v>
      </c>
      <c r="E274" s="25" t="inlineStr">
        <is>
          <t>21x125</t>
        </is>
      </c>
      <c r="F274" s="25" t="n">
        <v>714.5</v>
      </c>
      <c r="G274" s="25" t="n">
        <v>1.06</v>
      </c>
      <c r="H274" s="25">
        <f>G274*D274</f>
        <v/>
      </c>
      <c r="I274" s="25" t="n">
        <v>45</v>
      </c>
      <c r="J274" s="25" t="n">
        <v>31.5</v>
      </c>
      <c r="K274" s="37" t="n">
        <v>0</v>
      </c>
      <c r="L274" s="37" t="n">
        <v>50.93</v>
      </c>
      <c r="M274" s="37" t="n"/>
      <c r="N274" s="10">
        <f>G274*2400+K274+L274+M274</f>
        <v/>
      </c>
      <c r="O274" s="10">
        <f>(K274+M274)/G274</f>
        <v/>
      </c>
      <c r="P274" s="10">
        <f>L274/G274</f>
        <v/>
      </c>
      <c r="Q274" s="10">
        <f>N274*D274/1000</f>
        <v/>
      </c>
      <c r="R274" s="11">
        <f>K274*D274/1000</f>
        <v/>
      </c>
      <c r="S274" s="11">
        <f>L274*D274/1000</f>
        <v/>
      </c>
    </row>
    <row r="275" ht="46.5" customHeight="1">
      <c r="A275" s="25" t="inlineStr">
        <is>
          <t>LAJE</t>
        </is>
      </c>
      <c r="B275" s="25" t="inlineStr">
        <is>
          <t>L-5129A</t>
        </is>
      </c>
      <c r="C275" s="25" t="inlineStr">
        <is>
          <t>L5129A-FORMA E ARMAÇÃO-R00</t>
        </is>
      </c>
      <c r="D275" s="25" t="n">
        <v>4</v>
      </c>
      <c r="E275" s="25" t="inlineStr">
        <is>
          <t>21x125</t>
        </is>
      </c>
      <c r="F275" s="25" t="n">
        <v>725</v>
      </c>
      <c r="G275" s="25" t="n">
        <v>1.07</v>
      </c>
      <c r="H275" s="25">
        <f>G275*D275</f>
        <v/>
      </c>
      <c r="I275" s="25" t="n">
        <v>45</v>
      </c>
      <c r="J275" s="25" t="n">
        <v>31.5</v>
      </c>
      <c r="K275" s="37" t="n">
        <v>0</v>
      </c>
      <c r="L275" s="37" t="n">
        <v>51.68</v>
      </c>
      <c r="M275" s="37" t="n"/>
      <c r="N275" s="10">
        <f>G275*2400+K275+L275+M275</f>
        <v/>
      </c>
      <c r="O275" s="10">
        <f>(K275+M275)/G275</f>
        <v/>
      </c>
      <c r="P275" s="10">
        <f>L275/G275</f>
        <v/>
      </c>
      <c r="Q275" s="10">
        <f>N275*D275/1000</f>
        <v/>
      </c>
      <c r="R275" s="11">
        <f>K275*D275/1000</f>
        <v/>
      </c>
      <c r="S275" s="11">
        <f>L275*D275/1000</f>
        <v/>
      </c>
    </row>
    <row r="276" ht="46.5" customHeight="1">
      <c r="A276" s="25" t="inlineStr">
        <is>
          <t>LAJE</t>
        </is>
      </c>
      <c r="B276" s="25" t="inlineStr">
        <is>
          <t>L-5134</t>
        </is>
      </c>
      <c r="C276" s="25" t="inlineStr">
        <is>
          <t>L5134-FORMA E ARMAÇÃO-R00</t>
        </is>
      </c>
      <c r="D276" s="25" t="n">
        <v>1</v>
      </c>
      <c r="E276" s="25" t="inlineStr">
        <is>
          <t>21x125</t>
        </is>
      </c>
      <c r="F276" s="25" t="n">
        <v>725</v>
      </c>
      <c r="G276" s="25" t="n">
        <v>1.07</v>
      </c>
      <c r="H276" s="25">
        <f>G276*D276</f>
        <v/>
      </c>
      <c r="I276" s="25" t="n">
        <v>45</v>
      </c>
      <c r="J276" s="25" t="n">
        <v>31.5</v>
      </c>
      <c r="K276" s="37" t="n">
        <v>0</v>
      </c>
      <c r="L276" s="37" t="n">
        <v>51.68</v>
      </c>
      <c r="M276" s="37" t="n"/>
      <c r="N276" s="10">
        <f>G276*2400+K276+L276+M276</f>
        <v/>
      </c>
      <c r="O276" s="10">
        <f>(K276+M276)/G276</f>
        <v/>
      </c>
      <c r="P276" s="10">
        <f>L276/G276</f>
        <v/>
      </c>
      <c r="Q276" s="10">
        <f>N276*D276/1000</f>
        <v/>
      </c>
      <c r="R276" s="11">
        <f>K276*D276/1000</f>
        <v/>
      </c>
      <c r="S276" s="11">
        <f>L276*D276/1000</f>
        <v/>
      </c>
    </row>
    <row r="277" ht="46.5" customHeight="1">
      <c r="A277" s="25" t="inlineStr">
        <is>
          <t>LAJE</t>
        </is>
      </c>
      <c r="B277" s="25" t="inlineStr">
        <is>
          <t>L-5135</t>
        </is>
      </c>
      <c r="C277" s="25" t="inlineStr">
        <is>
          <t>L5135-FORMA E ARMAÇÃO-R00</t>
        </is>
      </c>
      <c r="D277" s="25" t="n">
        <v>2</v>
      </c>
      <c r="E277" s="25" t="inlineStr">
        <is>
          <t>21x109</t>
        </is>
      </c>
      <c r="F277" s="25" t="n">
        <v>725</v>
      </c>
      <c r="G277" s="25" t="n">
        <v>0.93</v>
      </c>
      <c r="H277" s="25">
        <f>G277*D277</f>
        <v/>
      </c>
      <c r="I277" s="25" t="n">
        <v>45</v>
      </c>
      <c r="J277" s="25" t="n">
        <v>31.5</v>
      </c>
      <c r="K277" s="37" t="n">
        <v>0</v>
      </c>
      <c r="L277" s="37" t="n">
        <v>51.68</v>
      </c>
      <c r="M277" s="37" t="n"/>
      <c r="N277" s="10">
        <f>G277*2400+K277+L277+M277</f>
        <v/>
      </c>
      <c r="O277" s="10">
        <f>(K277+M277)/G277</f>
        <v/>
      </c>
      <c r="P277" s="10">
        <f>L277/G277</f>
        <v/>
      </c>
      <c r="Q277" s="10">
        <f>N277*D277/1000</f>
        <v/>
      </c>
      <c r="R277" s="11">
        <f>K277*D277/1000</f>
        <v/>
      </c>
      <c r="S277" s="11">
        <f>L277*D277/1000</f>
        <v/>
      </c>
    </row>
    <row r="278" ht="46.5" customHeight="1">
      <c r="A278" s="25" t="inlineStr">
        <is>
          <t>LAJE</t>
        </is>
      </c>
      <c r="B278" s="25" t="inlineStr">
        <is>
          <t>L-5136</t>
        </is>
      </c>
      <c r="C278" s="25" t="inlineStr">
        <is>
          <t>L5136-FORMA E ARMAÇÃO-R00</t>
        </is>
      </c>
      <c r="D278" s="25" t="n">
        <v>2</v>
      </c>
      <c r="E278" s="25" t="inlineStr">
        <is>
          <t>21x109</t>
        </is>
      </c>
      <c r="F278" s="25" t="n">
        <v>725</v>
      </c>
      <c r="G278" s="25" t="n">
        <v>0.93</v>
      </c>
      <c r="H278" s="25">
        <f>G278*D278</f>
        <v/>
      </c>
      <c r="I278" s="25" t="n">
        <v>45</v>
      </c>
      <c r="J278" s="25" t="n">
        <v>31.5</v>
      </c>
      <c r="K278" s="37" t="n">
        <v>0</v>
      </c>
      <c r="L278" s="37" t="n">
        <v>51.68</v>
      </c>
      <c r="M278" s="37" t="n"/>
      <c r="N278" s="10">
        <f>G278*2400+K278+L278+M278</f>
        <v/>
      </c>
      <c r="O278" s="10">
        <f>(K278+M278)/G278</f>
        <v/>
      </c>
      <c r="P278" s="10">
        <f>L278/G278</f>
        <v/>
      </c>
      <c r="Q278" s="10">
        <f>N278*D278/1000</f>
        <v/>
      </c>
      <c r="R278" s="11">
        <f>K278*D278/1000</f>
        <v/>
      </c>
      <c r="S278" s="11">
        <f>L278*D278/1000</f>
        <v/>
      </c>
    </row>
    <row r="279" ht="46.5" customHeight="1">
      <c r="A279" s="25" t="inlineStr">
        <is>
          <t>LAJE</t>
        </is>
      </c>
      <c r="B279" s="25" t="inlineStr">
        <is>
          <t>L-5137</t>
        </is>
      </c>
      <c r="C279" s="25" t="inlineStr">
        <is>
          <t>L5137-FORMA E ARMAÇÃO-R00</t>
        </is>
      </c>
      <c r="D279" s="25" t="n">
        <v>2</v>
      </c>
      <c r="E279" s="25" t="inlineStr">
        <is>
          <t>21x125</t>
        </is>
      </c>
      <c r="F279" s="25" t="n">
        <v>725</v>
      </c>
      <c r="G279" s="25" t="n">
        <v>1.07</v>
      </c>
      <c r="H279" s="25">
        <f>G279*D279</f>
        <v/>
      </c>
      <c r="I279" s="25" t="n">
        <v>45</v>
      </c>
      <c r="J279" s="25" t="n">
        <v>31.5</v>
      </c>
      <c r="K279" s="37" t="n">
        <v>0</v>
      </c>
      <c r="L279" s="37" t="n">
        <v>51.68</v>
      </c>
      <c r="M279" s="37" t="n"/>
      <c r="N279" s="10">
        <f>G279*2400+K279+L279+M279</f>
        <v/>
      </c>
      <c r="O279" s="10">
        <f>(K279+M279)/G279</f>
        <v/>
      </c>
      <c r="P279" s="10">
        <f>L279/G279</f>
        <v/>
      </c>
      <c r="Q279" s="10">
        <f>N279*D279/1000</f>
        <v/>
      </c>
      <c r="R279" s="11">
        <f>K279*D279/1000</f>
        <v/>
      </c>
      <c r="S279" s="11">
        <f>L279*D279/1000</f>
        <v/>
      </c>
    </row>
    <row r="280" ht="46.5" customHeight="1">
      <c r="A280" s="25" t="inlineStr">
        <is>
          <t>LAJE</t>
        </is>
      </c>
      <c r="B280" s="25" t="inlineStr">
        <is>
          <t>L-5138A</t>
        </is>
      </c>
      <c r="C280" s="25" t="inlineStr">
        <is>
          <t>L5138A-FORMA E ARMAÇÃO-R00</t>
        </is>
      </c>
      <c r="D280" s="25" t="n">
        <v>1</v>
      </c>
      <c r="E280" s="25" t="inlineStr">
        <is>
          <t>21x125</t>
        </is>
      </c>
      <c r="F280" s="25" t="n">
        <v>725</v>
      </c>
      <c r="G280" s="25" t="n">
        <v>1.07</v>
      </c>
      <c r="H280" s="25">
        <f>G280*D280</f>
        <v/>
      </c>
      <c r="I280" s="25" t="n">
        <v>45</v>
      </c>
      <c r="J280" s="25" t="n">
        <v>31.5</v>
      </c>
      <c r="K280" s="37" t="n">
        <v>0</v>
      </c>
      <c r="L280" s="37" t="n">
        <v>51.68</v>
      </c>
      <c r="M280" s="37" t="n"/>
      <c r="N280" s="10">
        <f>G280*2400+K280+L280+M280</f>
        <v/>
      </c>
      <c r="O280" s="10">
        <f>(K280+M280)/G280</f>
        <v/>
      </c>
      <c r="P280" s="10">
        <f>L280/G280</f>
        <v/>
      </c>
      <c r="Q280" s="10">
        <f>N280*D280/1000</f>
        <v/>
      </c>
      <c r="R280" s="11">
        <f>K280*D280/1000</f>
        <v/>
      </c>
      <c r="S280" s="11">
        <f>L280*D280/1000</f>
        <v/>
      </c>
    </row>
    <row r="281" ht="46.5" customHeight="1">
      <c r="A281" s="25" t="inlineStr">
        <is>
          <t>LAJE</t>
        </is>
      </c>
      <c r="B281" s="25" t="inlineStr">
        <is>
          <t>L-5145</t>
        </is>
      </c>
      <c r="C281" s="25" t="inlineStr">
        <is>
          <t>L5145-FORMA E ARMAÇÃO-R00</t>
        </is>
      </c>
      <c r="D281" s="25" t="n">
        <v>1</v>
      </c>
      <c r="E281" s="25" t="inlineStr">
        <is>
          <t>21x125</t>
        </is>
      </c>
      <c r="F281" s="25" t="n">
        <v>87</v>
      </c>
      <c r="G281" s="25" t="n">
        <v>0.13</v>
      </c>
      <c r="H281" s="25">
        <f>G281*D281</f>
        <v/>
      </c>
      <c r="I281" s="25" t="n">
        <v>45</v>
      </c>
      <c r="J281" s="25" t="n">
        <v>31.5</v>
      </c>
      <c r="K281" s="37" t="n">
        <v>0</v>
      </c>
      <c r="L281" s="37" t="n">
        <v>3.45</v>
      </c>
      <c r="M281" s="37" t="n"/>
      <c r="N281" s="10">
        <f>G281*2400+K281+L281+M281</f>
        <v/>
      </c>
      <c r="O281" s="10">
        <f>(K281+M281)/G281</f>
        <v/>
      </c>
      <c r="P281" s="10">
        <f>L281/G281</f>
        <v/>
      </c>
      <c r="Q281" s="10">
        <f>N281*D281/1000</f>
        <v/>
      </c>
      <c r="R281" s="11">
        <f>K281*D281/1000</f>
        <v/>
      </c>
      <c r="S281" s="11">
        <f>L281*D281/1000</f>
        <v/>
      </c>
    </row>
    <row r="282" ht="46.5" customHeight="1">
      <c r="A282" s="25" t="inlineStr">
        <is>
          <t>LAJE</t>
        </is>
      </c>
      <c r="B282" s="25" t="inlineStr">
        <is>
          <t>L-5146</t>
        </is>
      </c>
      <c r="C282" s="25" t="inlineStr">
        <is>
          <t>L5146-FORMA E ARMAÇÃO-R00</t>
        </is>
      </c>
      <c r="D282" s="25" t="n">
        <v>1</v>
      </c>
      <c r="E282" s="25" t="inlineStr">
        <is>
          <t>21x109</t>
        </is>
      </c>
      <c r="F282" s="25" t="n">
        <v>141</v>
      </c>
      <c r="G282" s="25" t="n">
        <v>0.18</v>
      </c>
      <c r="H282" s="25">
        <f>G282*D282</f>
        <v/>
      </c>
      <c r="I282" s="25" t="n">
        <v>45</v>
      </c>
      <c r="J282" s="25" t="n">
        <v>31.5</v>
      </c>
      <c r="K282" s="37" t="n">
        <v>0</v>
      </c>
      <c r="L282" s="37" t="n">
        <v>5.58</v>
      </c>
      <c r="M282" s="37" t="n"/>
      <c r="N282" s="10">
        <f>G282*2400+K282+L282+M282</f>
        <v/>
      </c>
      <c r="O282" s="10">
        <f>(K282+M282)/G282</f>
        <v/>
      </c>
      <c r="P282" s="10">
        <f>L282/G282</f>
        <v/>
      </c>
      <c r="Q282" s="10">
        <f>N282*D282/1000</f>
        <v/>
      </c>
      <c r="R282" s="11">
        <f>K282*D282/1000</f>
        <v/>
      </c>
      <c r="S282" s="11">
        <f>L282*D282/1000</f>
        <v/>
      </c>
    </row>
    <row r="283" ht="46.5" customHeight="1">
      <c r="A283" s="25" t="inlineStr">
        <is>
          <t>LAJE</t>
        </is>
      </c>
      <c r="B283" s="25" t="inlineStr">
        <is>
          <t>L-5147</t>
        </is>
      </c>
      <c r="C283" s="25" t="inlineStr">
        <is>
          <t>L5147-FORMA E ARMAÇÃO-R00</t>
        </is>
      </c>
      <c r="D283" s="25" t="n">
        <v>2</v>
      </c>
      <c r="E283" s="25" t="inlineStr">
        <is>
          <t>21x70</t>
        </is>
      </c>
      <c r="F283" s="25" t="n">
        <v>141</v>
      </c>
      <c r="G283" s="25" t="n">
        <v>0.12</v>
      </c>
      <c r="H283" s="25">
        <f>G283*D283</f>
        <v/>
      </c>
      <c r="I283" s="25" t="n">
        <v>45</v>
      </c>
      <c r="J283" s="25" t="n">
        <v>31.5</v>
      </c>
      <c r="K283" s="37" t="n">
        <v>0</v>
      </c>
      <c r="L283" s="37" t="n">
        <v>5.58</v>
      </c>
      <c r="M283" s="37" t="n"/>
      <c r="N283" s="10">
        <f>G283*2400+K283+L283+M283</f>
        <v/>
      </c>
      <c r="O283" s="10">
        <f>(K283+M283)/G283</f>
        <v/>
      </c>
      <c r="P283" s="10">
        <f>L283/G283</f>
        <v/>
      </c>
      <c r="Q283" s="10">
        <f>N283*D283/1000</f>
        <v/>
      </c>
      <c r="R283" s="11">
        <f>K283*D283/1000</f>
        <v/>
      </c>
      <c r="S283" s="11">
        <f>L283*D283/1000</f>
        <v/>
      </c>
    </row>
    <row r="284" ht="46.5" customHeight="1">
      <c r="A284" s="25" t="inlineStr">
        <is>
          <t>LAJE</t>
        </is>
      </c>
      <c r="B284" s="25" t="inlineStr">
        <is>
          <t>L-5148</t>
        </is>
      </c>
      <c r="C284" s="25" t="inlineStr">
        <is>
          <t>L5148-FORMA E ARMAÇÃO-R00</t>
        </is>
      </c>
      <c r="D284" s="25" t="n">
        <v>1</v>
      </c>
      <c r="E284" s="25" t="inlineStr">
        <is>
          <t>21x109</t>
        </is>
      </c>
      <c r="F284" s="25" t="n">
        <v>141</v>
      </c>
      <c r="G284" s="25" t="n">
        <v>0.18</v>
      </c>
      <c r="H284" s="25">
        <f>G284*D284</f>
        <v/>
      </c>
      <c r="I284" s="25" t="n">
        <v>45</v>
      </c>
      <c r="J284" s="25" t="n">
        <v>31.5</v>
      </c>
      <c r="K284" s="37" t="n">
        <v>0</v>
      </c>
      <c r="L284" s="37" t="n">
        <v>5.58</v>
      </c>
      <c r="M284" s="37" t="n"/>
      <c r="N284" s="10">
        <f>G284*2400+K284+L284+M284</f>
        <v/>
      </c>
      <c r="O284" s="10">
        <f>(K284+M284)/G284</f>
        <v/>
      </c>
      <c r="P284" s="10">
        <f>L284/G284</f>
        <v/>
      </c>
      <c r="Q284" s="10">
        <f>N284*D284/1000</f>
        <v/>
      </c>
      <c r="R284" s="11">
        <f>K284*D284/1000</f>
        <v/>
      </c>
      <c r="S284" s="11">
        <f>L284*D284/1000</f>
        <v/>
      </c>
    </row>
    <row r="285" ht="46.5" customHeight="1">
      <c r="A285" s="25" t="inlineStr">
        <is>
          <t>LAJE</t>
        </is>
      </c>
      <c r="B285" s="25" t="inlineStr">
        <is>
          <t>L-5172</t>
        </is>
      </c>
      <c r="C285" s="25" t="inlineStr">
        <is>
          <t>L5172-FORMA E ARMAÇÃO-R00</t>
        </is>
      </c>
      <c r="D285" s="25" t="n">
        <v>1</v>
      </c>
      <c r="E285" s="25" t="inlineStr">
        <is>
          <t>16x79,5</t>
        </is>
      </c>
      <c r="F285" s="25" t="n">
        <v>632</v>
      </c>
      <c r="G285" s="25" t="n">
        <v>0.49</v>
      </c>
      <c r="H285" s="25">
        <f>G285*D285</f>
        <v/>
      </c>
      <c r="I285" s="25" t="n">
        <v>45</v>
      </c>
      <c r="J285" s="25" t="n">
        <v>31.5</v>
      </c>
      <c r="K285" s="37" t="n">
        <v>0</v>
      </c>
      <c r="L285" s="37" t="n">
        <v>19.51</v>
      </c>
      <c r="M285" s="37" t="n"/>
      <c r="N285" s="10">
        <f>G285*2400+K285+L285+M285</f>
        <v/>
      </c>
      <c r="O285" s="10">
        <f>(K285+M285)/G285</f>
        <v/>
      </c>
      <c r="P285" s="10">
        <f>L285/G285</f>
        <v/>
      </c>
      <c r="Q285" s="10">
        <f>N285*D285/1000</f>
        <v/>
      </c>
      <c r="R285" s="11">
        <f>K285*D285/1000</f>
        <v/>
      </c>
      <c r="S285" s="11">
        <f>L285*D285/1000</f>
        <v/>
      </c>
    </row>
    <row r="286" ht="46.5" customHeight="1">
      <c r="A286" s="25" t="inlineStr">
        <is>
          <t>LAJE</t>
        </is>
      </c>
      <c r="B286" s="25" t="inlineStr">
        <is>
          <t>L-5173</t>
        </is>
      </c>
      <c r="C286" s="25" t="inlineStr">
        <is>
          <t>L5173-FORMA E ARMAÇÃO-R00</t>
        </is>
      </c>
      <c r="D286" s="25" t="n">
        <v>1</v>
      </c>
      <c r="E286" s="25" t="inlineStr">
        <is>
          <t>16x94,5</t>
        </is>
      </c>
      <c r="F286" s="25" t="n">
        <v>632</v>
      </c>
      <c r="G286" s="25" t="n">
        <v>0.59</v>
      </c>
      <c r="H286" s="25">
        <f>G286*D286</f>
        <v/>
      </c>
      <c r="I286" s="25" t="n">
        <v>45</v>
      </c>
      <c r="J286" s="25" t="n">
        <v>31.5</v>
      </c>
      <c r="K286" s="37" t="n">
        <v>0</v>
      </c>
      <c r="L286" s="37" t="n">
        <v>19.51</v>
      </c>
      <c r="M286" s="37" t="n"/>
      <c r="N286" s="10">
        <f>G286*2400+K286+L286+M286</f>
        <v/>
      </c>
      <c r="O286" s="10">
        <f>(K286+M286)/G286</f>
        <v/>
      </c>
      <c r="P286" s="10">
        <f>L286/G286</f>
        <v/>
      </c>
      <c r="Q286" s="10">
        <f>N286*D286/1000</f>
        <v/>
      </c>
      <c r="R286" s="11">
        <f>K286*D286/1000</f>
        <v/>
      </c>
      <c r="S286" s="11">
        <f>L286*D286/1000</f>
        <v/>
      </c>
    </row>
    <row r="287" ht="46.5" customHeight="1">
      <c r="A287" s="25" t="n"/>
      <c r="B287" s="25" t="n"/>
      <c r="C287" s="25" t="n"/>
      <c r="D287" s="25" t="n"/>
      <c r="E287" s="25" t="n"/>
      <c r="F287" s="25" t="n"/>
      <c r="G287" s="25" t="n"/>
      <c r="H287" s="25" t="n"/>
      <c r="I287" s="25" t="n"/>
      <c r="J287" s="25" t="n"/>
      <c r="K287" s="37" t="n"/>
      <c r="L287" s="37" t="n"/>
      <c r="M287" s="37" t="n"/>
      <c r="N287" s="10">
        <f>G287*2400+K287+L287+M287</f>
        <v/>
      </c>
      <c r="O287" s="10">
        <f>(K287+M287)/G287</f>
        <v/>
      </c>
      <c r="P287" s="10">
        <f>L287/G287</f>
        <v/>
      </c>
      <c r="Q287" s="10">
        <f>N287*D287/1000</f>
        <v/>
      </c>
      <c r="R287" s="11">
        <f>K287*D287/1000</f>
        <v/>
      </c>
      <c r="S287" s="11">
        <f>L287*D287/1000</f>
        <v/>
      </c>
    </row>
    <row r="288" ht="46.5" customHeight="1">
      <c r="A288" s="25" t="n"/>
      <c r="B288" s="25" t="n"/>
      <c r="C288" s="25" t="n"/>
      <c r="D288" s="25" t="n"/>
      <c r="E288" s="25" t="n"/>
      <c r="F288" s="25" t="n"/>
      <c r="G288" s="25" t="n"/>
      <c r="H288" s="25" t="n"/>
      <c r="I288" s="25" t="n"/>
      <c r="J288" s="25" t="n"/>
      <c r="K288" s="37" t="n"/>
      <c r="L288" s="37" t="n"/>
      <c r="M288" s="37" t="n"/>
      <c r="N288" s="10">
        <f>G288*2400+K288+L288+M288</f>
        <v/>
      </c>
      <c r="O288" s="10">
        <f>(K288+M288)/G288</f>
        <v/>
      </c>
      <c r="P288" s="10">
        <f>L288/G288</f>
        <v/>
      </c>
      <c r="Q288" s="10">
        <f>N288*D288/1000</f>
        <v/>
      </c>
      <c r="R288" s="11">
        <f>K288*D288/1000</f>
        <v/>
      </c>
      <c r="S288" s="11">
        <f>L288*D288/1000</f>
        <v/>
      </c>
    </row>
    <row r="289" ht="46.5" customHeight="1">
      <c r="A289" s="25" t="n"/>
      <c r="B289" s="25" t="n"/>
      <c r="C289" s="25" t="n"/>
      <c r="D289" s="25" t="n"/>
      <c r="E289" s="25" t="n"/>
      <c r="F289" s="25" t="n"/>
      <c r="G289" s="25" t="n"/>
      <c r="H289" s="25" t="n"/>
      <c r="I289" s="25" t="n"/>
      <c r="J289" s="25" t="n"/>
      <c r="K289" s="37" t="n"/>
      <c r="L289" s="37" t="n"/>
      <c r="M289" s="37" t="n"/>
      <c r="N289" s="10">
        <f>G289*2400+K289+L289+M289</f>
        <v/>
      </c>
      <c r="O289" s="10">
        <f>(K289+M289)/G289</f>
        <v/>
      </c>
      <c r="P289" s="10">
        <f>L289/G289</f>
        <v/>
      </c>
      <c r="Q289" s="10">
        <f>N289*D289/1000</f>
        <v/>
      </c>
      <c r="R289" s="11">
        <f>K289*D289/1000</f>
        <v/>
      </c>
      <c r="S289" s="11">
        <f>L289*D289/1000</f>
        <v/>
      </c>
    </row>
    <row r="290" ht="46.5" customHeight="1">
      <c r="A290" s="25" t="n"/>
      <c r="B290" s="25" t="n"/>
      <c r="C290" s="25" t="n"/>
      <c r="D290" s="25" t="n"/>
      <c r="E290" s="25" t="n"/>
      <c r="F290" s="25" t="n"/>
      <c r="G290" s="25" t="n"/>
      <c r="H290" s="25" t="n"/>
      <c r="I290" s="25" t="n"/>
      <c r="J290" s="25" t="n"/>
      <c r="K290" s="37" t="n"/>
      <c r="L290" s="37" t="n"/>
      <c r="M290" s="37" t="n"/>
      <c r="N290" s="10">
        <f>G290*2400+K290+L290+M290</f>
        <v/>
      </c>
      <c r="O290" s="10">
        <f>(K290+M290)/G290</f>
        <v/>
      </c>
      <c r="P290" s="10">
        <f>L290/G290</f>
        <v/>
      </c>
      <c r="Q290" s="10">
        <f>N290*D290/1000</f>
        <v/>
      </c>
      <c r="R290" s="11">
        <f>K290*D290/1000</f>
        <v/>
      </c>
      <c r="S290" s="11">
        <f>L290*D290/1000</f>
        <v/>
      </c>
    </row>
    <row r="291" ht="46.5" customHeight="1">
      <c r="A291" s="25" t="n"/>
      <c r="B291" s="25" t="n"/>
      <c r="C291" s="25" t="n"/>
      <c r="D291" s="25" t="n"/>
      <c r="E291" s="25" t="n"/>
      <c r="F291" s="25" t="n"/>
      <c r="G291" s="25" t="n"/>
      <c r="H291" s="25" t="n"/>
      <c r="I291" s="25" t="n"/>
      <c r="J291" s="25" t="n"/>
      <c r="K291" s="37" t="n"/>
      <c r="L291" s="37" t="n"/>
      <c r="M291" s="37" t="n"/>
      <c r="N291" s="10">
        <f>G291*2400+K291+L291+M291</f>
        <v/>
      </c>
      <c r="O291" s="10">
        <f>(K291+M291)/G291</f>
        <v/>
      </c>
      <c r="P291" s="10">
        <f>L291/G291</f>
        <v/>
      </c>
      <c r="Q291" s="10">
        <f>N291*D291/1000</f>
        <v/>
      </c>
      <c r="R291" s="11">
        <f>K291*D291/1000</f>
        <v/>
      </c>
      <c r="S291" s="11">
        <f>L291*D291/1000</f>
        <v/>
      </c>
    </row>
    <row r="292" ht="46.5" customHeight="1">
      <c r="A292" s="25" t="n"/>
      <c r="B292" s="25" t="n"/>
      <c r="C292" s="25" t="n"/>
      <c r="D292" s="25" t="n"/>
      <c r="E292" s="25" t="n"/>
      <c r="F292" s="25" t="n"/>
      <c r="G292" s="25" t="n"/>
      <c r="H292" s="25" t="n"/>
      <c r="I292" s="25" t="n"/>
      <c r="J292" s="25" t="n"/>
      <c r="K292" s="37" t="n"/>
      <c r="L292" s="37" t="n"/>
      <c r="M292" s="37" t="n"/>
      <c r="N292" s="10">
        <f>G292*2400+K292+L292+M292</f>
        <v/>
      </c>
      <c r="O292" s="10">
        <f>(K292+M292)/G292</f>
        <v/>
      </c>
      <c r="P292" s="10">
        <f>L292/G292</f>
        <v/>
      </c>
      <c r="Q292" s="10">
        <f>N292*D292/1000</f>
        <v/>
      </c>
      <c r="R292" s="11">
        <f>K292*D292/1000</f>
        <v/>
      </c>
      <c r="S292" s="11">
        <f>L292*D292/1000</f>
        <v/>
      </c>
    </row>
    <row r="293" ht="46.5" customHeight="1">
      <c r="A293" s="25" t="n"/>
      <c r="B293" s="25" t="n"/>
      <c r="C293" s="25" t="n"/>
      <c r="D293" s="25" t="n"/>
      <c r="E293" s="25" t="n"/>
      <c r="F293" s="25" t="n"/>
      <c r="G293" s="25" t="n"/>
      <c r="H293" s="25" t="n"/>
      <c r="I293" s="25" t="n"/>
      <c r="J293" s="25" t="n"/>
      <c r="K293" s="37" t="n"/>
      <c r="L293" s="37" t="n"/>
      <c r="M293" s="37" t="n"/>
      <c r="N293" s="10">
        <f>G293*2400+K293+L293+M293</f>
        <v/>
      </c>
      <c r="O293" s="10">
        <f>(K293+M293)/G293</f>
        <v/>
      </c>
      <c r="P293" s="10">
        <f>L293/G293</f>
        <v/>
      </c>
      <c r="Q293" s="10">
        <f>N293*D293/1000</f>
        <v/>
      </c>
      <c r="R293" s="11">
        <f>K293*D293/1000</f>
        <v/>
      </c>
      <c r="S293" s="11">
        <f>L293*D293/1000</f>
        <v/>
      </c>
    </row>
    <row r="294" ht="46.5" customHeight="1">
      <c r="A294" s="25" t="n"/>
      <c r="B294" s="25" t="n"/>
      <c r="C294" s="25" t="n"/>
      <c r="D294" s="25" t="n"/>
      <c r="E294" s="25" t="n"/>
      <c r="F294" s="25" t="n"/>
      <c r="G294" s="25" t="n"/>
      <c r="H294" s="25" t="n"/>
      <c r="I294" s="25" t="n"/>
      <c r="J294" s="25" t="n"/>
      <c r="K294" s="37" t="n"/>
      <c r="L294" s="37" t="n"/>
      <c r="M294" s="37" t="n"/>
      <c r="N294" s="10">
        <f>G294*2400+K294+L294+M294</f>
        <v/>
      </c>
      <c r="O294" s="10">
        <f>(K294+M294)/G294</f>
        <v/>
      </c>
      <c r="P294" s="10">
        <f>L294/G294</f>
        <v/>
      </c>
      <c r="Q294" s="10">
        <f>N294*D294/1000</f>
        <v/>
      </c>
      <c r="R294" s="11">
        <f>K294*D294/1000</f>
        <v/>
      </c>
      <c r="S294" s="11">
        <f>L294*D294/1000</f>
        <v/>
      </c>
    </row>
    <row r="295" ht="46.5" customHeight="1">
      <c r="A295" s="25" t="n"/>
      <c r="B295" s="25" t="n"/>
      <c r="C295" s="25" t="n"/>
      <c r="D295" s="25" t="n"/>
      <c r="E295" s="25" t="n"/>
      <c r="F295" s="25" t="n"/>
      <c r="G295" s="25" t="n"/>
      <c r="H295" s="25" t="n"/>
      <c r="I295" s="25" t="n"/>
      <c r="J295" s="25" t="n"/>
      <c r="K295" s="37" t="n"/>
      <c r="L295" s="37" t="n"/>
      <c r="M295" s="37" t="n"/>
      <c r="N295" s="10">
        <f>G295*2400+K295+L295+M295</f>
        <v/>
      </c>
      <c r="O295" s="10">
        <f>(K295+M295)/G295</f>
        <v/>
      </c>
      <c r="P295" s="10">
        <f>L295/G295</f>
        <v/>
      </c>
      <c r="Q295" s="10">
        <f>N295*D295/1000</f>
        <v/>
      </c>
      <c r="R295" s="11">
        <f>K295*D295/1000</f>
        <v/>
      </c>
      <c r="S295" s="11">
        <f>L295*D295/1000</f>
        <v/>
      </c>
    </row>
    <row r="296" ht="46.5" customHeight="1">
      <c r="A296" s="25" t="n"/>
      <c r="B296" s="25" t="n"/>
      <c r="C296" s="25" t="n"/>
      <c r="D296" s="25" t="n"/>
      <c r="E296" s="25" t="n"/>
      <c r="F296" s="25" t="n"/>
      <c r="G296" s="25" t="n"/>
      <c r="H296" s="25" t="n"/>
      <c r="I296" s="25" t="n"/>
      <c r="J296" s="25" t="n"/>
      <c r="K296" s="37" t="n"/>
      <c r="L296" s="37" t="n"/>
      <c r="M296" s="37" t="n"/>
      <c r="N296" s="10">
        <f>G296*2400+K296+L296+M296</f>
        <v/>
      </c>
      <c r="O296" s="10">
        <f>(K296+M296)/G296</f>
        <v/>
      </c>
      <c r="P296" s="10">
        <f>L296/G296</f>
        <v/>
      </c>
      <c r="Q296" s="10">
        <f>N296*D296/1000</f>
        <v/>
      </c>
      <c r="R296" s="11">
        <f>K296*D296/1000</f>
        <v/>
      </c>
      <c r="S296" s="11">
        <f>L296*D296/1000</f>
        <v/>
      </c>
    </row>
    <row r="297" ht="46.5" customHeight="1">
      <c r="A297" s="25" t="n"/>
      <c r="B297" s="25" t="n"/>
      <c r="C297" s="25" t="n"/>
      <c r="D297" s="25" t="n"/>
      <c r="E297" s="25" t="n"/>
      <c r="F297" s="25" t="n"/>
      <c r="G297" s="25" t="n"/>
      <c r="H297" s="25" t="n"/>
      <c r="I297" s="25" t="n"/>
      <c r="J297" s="25" t="n"/>
      <c r="K297" s="37" t="n"/>
      <c r="L297" s="37" t="n"/>
      <c r="M297" s="37" t="n"/>
      <c r="N297" s="10">
        <f>G297*2400+K297+L297+M297</f>
        <v/>
      </c>
      <c r="O297" s="10">
        <f>(K297+M297)/G297</f>
        <v/>
      </c>
      <c r="P297" s="10">
        <f>L297/G297</f>
        <v/>
      </c>
      <c r="Q297" s="10">
        <f>N297*D297/1000</f>
        <v/>
      </c>
      <c r="R297" s="11">
        <f>K297*D297/1000</f>
        <v/>
      </c>
      <c r="S297" s="11">
        <f>L297*D297/1000</f>
        <v/>
      </c>
    </row>
    <row r="298" ht="46.5" customHeight="1">
      <c r="A298" s="25" t="n"/>
      <c r="B298" s="25" t="n"/>
      <c r="C298" s="25" t="n"/>
      <c r="D298" s="25" t="n"/>
      <c r="E298" s="25" t="n"/>
      <c r="F298" s="25" t="n"/>
      <c r="G298" s="25" t="n"/>
      <c r="H298" s="25" t="n"/>
      <c r="I298" s="25" t="n"/>
      <c r="J298" s="25" t="n"/>
      <c r="K298" s="37" t="n"/>
      <c r="L298" s="37" t="n"/>
      <c r="M298" s="37" t="n"/>
      <c r="N298" s="10">
        <f>G298*2400+K298+L298+M298</f>
        <v/>
      </c>
      <c r="O298" s="10">
        <f>(K298+M298)/G298</f>
        <v/>
      </c>
      <c r="P298" s="10">
        <f>L298/G298</f>
        <v/>
      </c>
      <c r="Q298" s="10">
        <f>N298*D298/1000</f>
        <v/>
      </c>
      <c r="R298" s="11">
        <f>K298*D298/1000</f>
        <v/>
      </c>
      <c r="S298" s="11">
        <f>L298*D298/1000</f>
        <v/>
      </c>
    </row>
    <row r="299" ht="46.5" customHeight="1">
      <c r="A299" s="25" t="n"/>
      <c r="B299" s="25" t="n"/>
      <c r="C299" s="25" t="n"/>
      <c r="D299" s="25" t="n"/>
      <c r="E299" s="25" t="n"/>
      <c r="F299" s="25" t="n"/>
      <c r="G299" s="25" t="n"/>
      <c r="H299" s="25" t="n"/>
      <c r="I299" s="25" t="n"/>
      <c r="J299" s="25" t="n"/>
      <c r="K299" s="37" t="n"/>
      <c r="L299" s="37" t="n"/>
      <c r="M299" s="37" t="n"/>
      <c r="N299" s="10">
        <f>G299*2400+K299+L299+M299</f>
        <v/>
      </c>
      <c r="O299" s="10">
        <f>(K299+M299)/G299</f>
        <v/>
      </c>
      <c r="P299" s="10">
        <f>L299/G299</f>
        <v/>
      </c>
      <c r="Q299" s="10">
        <f>N299*D299/1000</f>
        <v/>
      </c>
      <c r="R299" s="11">
        <f>K299*D299/1000</f>
        <v/>
      </c>
      <c r="S299" s="11">
        <f>L299*D299/1000</f>
        <v/>
      </c>
    </row>
    <row r="300" ht="46.5" customHeight="1">
      <c r="A300" s="25" t="n"/>
      <c r="B300" s="25" t="n"/>
      <c r="C300" s="25" t="n"/>
      <c r="D300" s="25" t="n"/>
      <c r="E300" s="25" t="n"/>
      <c r="F300" s="25" t="n"/>
      <c r="G300" s="25" t="n"/>
      <c r="H300" s="25" t="n"/>
      <c r="I300" s="25" t="n"/>
      <c r="J300" s="25" t="n"/>
      <c r="K300" s="37" t="n"/>
      <c r="L300" s="37" t="n"/>
      <c r="M300" s="37" t="n"/>
      <c r="N300" s="10">
        <f>G300*2400+K300+L300+M300</f>
        <v/>
      </c>
      <c r="O300" s="10">
        <f>(K300+M300)/G300</f>
        <v/>
      </c>
      <c r="P300" s="10">
        <f>L300/G300</f>
        <v/>
      </c>
      <c r="Q300" s="10">
        <f>N300*D300/1000</f>
        <v/>
      </c>
      <c r="R300" s="11">
        <f>K300*D300/1000</f>
        <v/>
      </c>
      <c r="S300" s="11">
        <f>L300*D300/1000</f>
        <v/>
      </c>
    </row>
    <row r="301" ht="46.5" customHeight="1">
      <c r="A301" s="25" t="n"/>
      <c r="B301" s="25" t="n"/>
      <c r="C301" s="25" t="n"/>
      <c r="D301" s="25" t="n"/>
      <c r="E301" s="25" t="n"/>
      <c r="F301" s="25" t="n"/>
      <c r="G301" s="25" t="n"/>
      <c r="H301" s="25" t="n"/>
      <c r="I301" s="25" t="n"/>
      <c r="J301" s="25" t="n"/>
      <c r="K301" s="37" t="n"/>
      <c r="L301" s="37" t="n"/>
      <c r="M301" s="37" t="n"/>
      <c r="N301" s="10">
        <f>G301*2400+K301+L301+M301</f>
        <v/>
      </c>
      <c r="O301" s="10">
        <f>(K301+M301)/G301</f>
        <v/>
      </c>
      <c r="P301" s="10">
        <f>L301/G301</f>
        <v/>
      </c>
      <c r="Q301" s="10">
        <f>N301*D301/1000</f>
        <v/>
      </c>
      <c r="R301" s="11">
        <f>K301*D301/1000</f>
        <v/>
      </c>
      <c r="S301" s="11">
        <f>L301*D301/1000</f>
        <v/>
      </c>
    </row>
    <row r="302" ht="46.5" customHeight="1">
      <c r="A302" s="25" t="n"/>
      <c r="B302" s="25" t="n"/>
      <c r="C302" s="25" t="n"/>
      <c r="D302" s="25" t="n"/>
      <c r="E302" s="25" t="n"/>
      <c r="F302" s="25" t="n"/>
      <c r="G302" s="25" t="n"/>
      <c r="H302" s="25" t="n"/>
      <c r="I302" s="25" t="n"/>
      <c r="J302" s="25" t="n"/>
      <c r="K302" s="37" t="n"/>
      <c r="L302" s="37" t="n"/>
      <c r="M302" s="37" t="n"/>
      <c r="N302" s="10">
        <f>G302*2400+K302+L302+M302</f>
        <v/>
      </c>
      <c r="O302" s="10">
        <f>(K302+M302)/G302</f>
        <v/>
      </c>
      <c r="P302" s="10">
        <f>L302/G302</f>
        <v/>
      </c>
      <c r="Q302" s="10">
        <f>N302*D302/1000</f>
        <v/>
      </c>
      <c r="R302" s="11">
        <f>K302*D302/1000</f>
        <v/>
      </c>
      <c r="S302" s="11">
        <f>L302*D302/1000</f>
        <v/>
      </c>
    </row>
    <row r="303" ht="46.5" customHeight="1">
      <c r="A303" s="25" t="n"/>
      <c r="B303" s="25" t="n"/>
      <c r="C303" s="25" t="n"/>
      <c r="D303" s="25" t="n"/>
      <c r="E303" s="25" t="n"/>
      <c r="F303" s="25" t="n"/>
      <c r="G303" s="25" t="n"/>
      <c r="H303" s="25" t="n"/>
      <c r="I303" s="25" t="n"/>
      <c r="J303" s="25" t="n"/>
      <c r="K303" s="37" t="n"/>
      <c r="L303" s="37" t="n"/>
      <c r="M303" s="37" t="n"/>
      <c r="N303" s="10">
        <f>G303*2400+K303+L303+M303</f>
        <v/>
      </c>
      <c r="O303" s="10">
        <f>(K303+M303)/G303</f>
        <v/>
      </c>
      <c r="P303" s="10">
        <f>L303/G303</f>
        <v/>
      </c>
      <c r="Q303" s="10">
        <f>N303*D303/1000</f>
        <v/>
      </c>
      <c r="R303" s="11">
        <f>K303*D303/1000</f>
        <v/>
      </c>
      <c r="S303" s="11">
        <f>L303*D303/1000</f>
        <v/>
      </c>
    </row>
    <row r="304" ht="46.5" customHeight="1">
      <c r="A304" s="25" t="n"/>
      <c r="B304" s="25" t="n"/>
      <c r="C304" s="25" t="n"/>
      <c r="D304" s="25" t="n"/>
      <c r="E304" s="25" t="n"/>
      <c r="F304" s="25" t="n"/>
      <c r="G304" s="25" t="n"/>
      <c r="H304" s="25" t="n"/>
      <c r="I304" s="25" t="n"/>
      <c r="J304" s="25" t="n"/>
      <c r="K304" s="37" t="n"/>
      <c r="L304" s="37" t="n"/>
      <c r="M304" s="37" t="n"/>
      <c r="N304" s="10">
        <f>G304*2400+K304+L304+M304</f>
        <v/>
      </c>
      <c r="O304" s="10">
        <f>(K304+M304)/G304</f>
        <v/>
      </c>
      <c r="P304" s="10">
        <f>L304/G304</f>
        <v/>
      </c>
      <c r="Q304" s="10">
        <f>N304*D304/1000</f>
        <v/>
      </c>
      <c r="R304" s="11">
        <f>K304*D304/1000</f>
        <v/>
      </c>
      <c r="S304" s="11">
        <f>L304*D304/1000</f>
        <v/>
      </c>
    </row>
    <row r="305" ht="46.5" customHeight="1">
      <c r="A305" s="25" t="n"/>
      <c r="B305" s="25" t="n"/>
      <c r="C305" s="25" t="n"/>
      <c r="D305" s="25" t="n"/>
      <c r="E305" s="25" t="n"/>
      <c r="F305" s="25" t="n"/>
      <c r="G305" s="25" t="n"/>
      <c r="H305" s="25" t="n"/>
      <c r="I305" s="25" t="n"/>
      <c r="J305" s="25" t="n"/>
      <c r="K305" s="37" t="n"/>
      <c r="L305" s="37" t="n"/>
      <c r="M305" s="37" t="n"/>
      <c r="N305" s="10">
        <f>G305*2400+K305+L305+M305</f>
        <v/>
      </c>
      <c r="O305" s="10">
        <f>(K305+M305)/G305</f>
        <v/>
      </c>
      <c r="P305" s="10">
        <f>L305/G305</f>
        <v/>
      </c>
      <c r="Q305" s="10">
        <f>N305*D305/1000</f>
        <v/>
      </c>
      <c r="R305" s="11">
        <f>K305*D305/1000</f>
        <v/>
      </c>
      <c r="S305" s="11">
        <f>L305*D305/1000</f>
        <v/>
      </c>
    </row>
    <row r="306" ht="46.5" customHeight="1">
      <c r="A306" s="25" t="n"/>
      <c r="B306" s="25" t="n"/>
      <c r="C306" s="25" t="n"/>
      <c r="D306" s="25" t="n"/>
      <c r="E306" s="25" t="n"/>
      <c r="F306" s="25" t="n"/>
      <c r="G306" s="25" t="n"/>
      <c r="H306" s="25" t="n"/>
      <c r="I306" s="25" t="n"/>
      <c r="J306" s="25" t="n"/>
      <c r="K306" s="37" t="n"/>
      <c r="L306" s="37" t="n"/>
      <c r="M306" s="37" t="n"/>
      <c r="N306" s="10">
        <f>G306*2400+K306+L306+M306</f>
        <v/>
      </c>
      <c r="O306" s="10">
        <f>(K306+M306)/G306</f>
        <v/>
      </c>
      <c r="P306" s="10">
        <f>L306/G306</f>
        <v/>
      </c>
      <c r="Q306" s="10">
        <f>N306*D306/1000</f>
        <v/>
      </c>
      <c r="R306" s="11">
        <f>K306*D306/1000</f>
        <v/>
      </c>
      <c r="S306" s="11">
        <f>L306*D306/1000</f>
        <v/>
      </c>
    </row>
    <row r="307" ht="46.5" customHeight="1">
      <c r="A307" s="25" t="n"/>
      <c r="B307" s="25" t="n"/>
      <c r="C307" s="25" t="n"/>
      <c r="D307" s="25" t="n"/>
      <c r="E307" s="25" t="n"/>
      <c r="F307" s="25" t="n"/>
      <c r="G307" s="25" t="n"/>
      <c r="H307" s="25" t="n"/>
      <c r="I307" s="25" t="n"/>
      <c r="J307" s="25" t="n"/>
      <c r="K307" s="37" t="n"/>
      <c r="L307" s="37" t="n"/>
      <c r="M307" s="37" t="n"/>
      <c r="N307" s="10">
        <f>G307*2400+K307+L307+M307</f>
        <v/>
      </c>
      <c r="O307" s="10">
        <f>(K307+M307)/G307</f>
        <v/>
      </c>
      <c r="P307" s="10">
        <f>L307/G307</f>
        <v/>
      </c>
      <c r="Q307" s="10">
        <f>N307*D307/1000</f>
        <v/>
      </c>
      <c r="R307" s="11">
        <f>K307*D307/1000</f>
        <v/>
      </c>
      <c r="S307" s="11">
        <f>L307*D307/1000</f>
        <v/>
      </c>
    </row>
    <row r="308" ht="46.5" customHeight="1">
      <c r="A308" s="25" t="n"/>
      <c r="B308" s="25" t="n"/>
      <c r="C308" s="25" t="n"/>
      <c r="D308" s="25" t="n"/>
      <c r="E308" s="25" t="n"/>
      <c r="F308" s="25" t="n"/>
      <c r="G308" s="25" t="n"/>
      <c r="H308" s="25" t="n"/>
      <c r="I308" s="25" t="n"/>
      <c r="J308" s="25" t="n"/>
      <c r="K308" s="37" t="n"/>
      <c r="L308" s="37" t="n"/>
      <c r="M308" s="37" t="n"/>
      <c r="N308" s="10">
        <f>G308*2400+K308+L308+M308</f>
        <v/>
      </c>
      <c r="O308" s="10">
        <f>(K308+M308)/G308</f>
        <v/>
      </c>
      <c r="P308" s="10">
        <f>L308/G308</f>
        <v/>
      </c>
      <c r="Q308" s="10">
        <f>N308*D308/1000</f>
        <v/>
      </c>
      <c r="R308" s="11">
        <f>K308*D308/1000</f>
        <v/>
      </c>
      <c r="S308" s="11">
        <f>L308*D308/1000</f>
        <v/>
      </c>
    </row>
    <row r="309" ht="46.5" customHeight="1">
      <c r="A309" s="25" t="n"/>
      <c r="B309" s="25" t="n"/>
      <c r="C309" s="25" t="n"/>
      <c r="D309" s="25" t="n"/>
      <c r="E309" s="25" t="n"/>
      <c r="F309" s="25" t="n"/>
      <c r="G309" s="25" t="n"/>
      <c r="H309" s="25" t="n"/>
      <c r="I309" s="25" t="n"/>
      <c r="J309" s="25" t="n"/>
      <c r="K309" s="37" t="n"/>
      <c r="L309" s="37" t="n"/>
      <c r="M309" s="37" t="n"/>
      <c r="N309" s="10">
        <f>G309*2400+K309+L309+M309</f>
        <v/>
      </c>
      <c r="O309" s="10">
        <f>(K309+M309)/G309</f>
        <v/>
      </c>
      <c r="P309" s="10">
        <f>L309/G309</f>
        <v/>
      </c>
      <c r="Q309" s="10">
        <f>N309*D309/1000</f>
        <v/>
      </c>
      <c r="R309" s="11">
        <f>K309*D309/1000</f>
        <v/>
      </c>
      <c r="S309" s="11">
        <f>L309*D309/1000</f>
        <v/>
      </c>
    </row>
    <row r="310" ht="46.5" customHeight="1">
      <c r="A310" s="25" t="n"/>
      <c r="B310" s="25" t="n"/>
      <c r="C310" s="25" t="n"/>
      <c r="D310" s="25" t="n"/>
      <c r="E310" s="25" t="n"/>
      <c r="F310" s="25" t="n"/>
      <c r="G310" s="25" t="n"/>
      <c r="H310" s="25" t="n"/>
      <c r="I310" s="25" t="n"/>
      <c r="J310" s="25" t="n"/>
      <c r="K310" s="37" t="n"/>
      <c r="L310" s="37" t="n"/>
      <c r="M310" s="37" t="n"/>
      <c r="N310" s="10">
        <f>G310*2400+K310+L310+M310</f>
        <v/>
      </c>
      <c r="O310" s="10">
        <f>(K310+M310)/G310</f>
        <v/>
      </c>
      <c r="P310" s="10">
        <f>L310/G310</f>
        <v/>
      </c>
      <c r="Q310" s="10">
        <f>N310*D310/1000</f>
        <v/>
      </c>
      <c r="R310" s="11">
        <f>K310*D310/1000</f>
        <v/>
      </c>
      <c r="S310" s="11">
        <f>L310*D310/1000</f>
        <v/>
      </c>
    </row>
    <row r="311" ht="46.5" customHeight="1">
      <c r="A311" s="25" t="n"/>
      <c r="B311" s="25" t="n"/>
      <c r="C311" s="25" t="n"/>
      <c r="D311" s="25" t="n"/>
      <c r="E311" s="25" t="n"/>
      <c r="F311" s="25" t="n"/>
      <c r="G311" s="25" t="n"/>
      <c r="H311" s="25" t="n"/>
      <c r="I311" s="25" t="n"/>
      <c r="J311" s="25" t="n"/>
      <c r="K311" s="37" t="n"/>
      <c r="L311" s="37" t="n"/>
      <c r="M311" s="37" t="n"/>
      <c r="N311" s="10">
        <f>G311*2400+K311+L311+M311</f>
        <v/>
      </c>
      <c r="O311" s="10">
        <f>(K311+M311)/G311</f>
        <v/>
      </c>
      <c r="P311" s="10">
        <f>L311/G311</f>
        <v/>
      </c>
      <c r="Q311" s="10">
        <f>N311*D311/1000</f>
        <v/>
      </c>
      <c r="R311" s="11">
        <f>K311*D311/1000</f>
        <v/>
      </c>
      <c r="S311" s="11">
        <f>L311*D311/1000</f>
        <v/>
      </c>
    </row>
    <row r="312" ht="46.5" customHeight="1">
      <c r="A312" s="25" t="n"/>
      <c r="B312" s="25" t="n"/>
      <c r="C312" s="25" t="n"/>
      <c r="D312" s="25" t="n"/>
      <c r="E312" s="25" t="n"/>
      <c r="F312" s="25" t="n"/>
      <c r="G312" s="25" t="n"/>
      <c r="H312" s="25" t="n"/>
      <c r="I312" s="25" t="n"/>
      <c r="J312" s="25" t="n"/>
      <c r="K312" s="37" t="n"/>
      <c r="L312" s="37" t="n"/>
      <c r="M312" s="37" t="n"/>
      <c r="N312" s="10">
        <f>G312*2400+K312+L312+M312</f>
        <v/>
      </c>
      <c r="O312" s="10">
        <f>(K312+M312)/G312</f>
        <v/>
      </c>
      <c r="P312" s="10">
        <f>L312/G312</f>
        <v/>
      </c>
      <c r="Q312" s="10">
        <f>N312*D312/1000</f>
        <v/>
      </c>
      <c r="R312" s="11">
        <f>K312*D312/1000</f>
        <v/>
      </c>
      <c r="S312" s="11">
        <f>L312*D312/1000</f>
        <v/>
      </c>
    </row>
    <row r="313" ht="46.5" customHeight="1">
      <c r="A313" s="25" t="n"/>
      <c r="B313" s="25" t="n"/>
      <c r="C313" s="25" t="n"/>
      <c r="D313" s="25" t="n"/>
      <c r="E313" s="25" t="n"/>
      <c r="F313" s="25" t="n"/>
      <c r="G313" s="25" t="n"/>
      <c r="H313" s="25" t="n"/>
      <c r="I313" s="25" t="n"/>
      <c r="J313" s="25" t="n"/>
      <c r="K313" s="37" t="n"/>
      <c r="L313" s="37" t="n"/>
      <c r="M313" s="37" t="n"/>
      <c r="N313" s="10">
        <f>G313*2400+K313+L313+M313</f>
        <v/>
      </c>
      <c r="O313" s="10">
        <f>(K313+M313)/G313</f>
        <v/>
      </c>
      <c r="P313" s="10">
        <f>L313/G313</f>
        <v/>
      </c>
      <c r="Q313" s="10">
        <f>N313*D313/1000</f>
        <v/>
      </c>
      <c r="R313" s="11">
        <f>K313*D313/1000</f>
        <v/>
      </c>
      <c r="S313" s="11">
        <f>L313*D313/1000</f>
        <v/>
      </c>
    </row>
    <row r="314" ht="46.5" customHeight="1">
      <c r="A314" s="25" t="n"/>
      <c r="B314" s="25" t="n"/>
      <c r="C314" s="25" t="n"/>
      <c r="D314" s="25" t="n"/>
      <c r="E314" s="25" t="n"/>
      <c r="F314" s="25" t="n"/>
      <c r="G314" s="25" t="n"/>
      <c r="H314" s="25" t="n"/>
      <c r="I314" s="25" t="n"/>
      <c r="J314" s="25" t="n"/>
      <c r="K314" s="37" t="n"/>
      <c r="L314" s="37" t="n"/>
      <c r="M314" s="37" t="n"/>
      <c r="N314" s="10">
        <f>G314*2400+K314+L314+M314</f>
        <v/>
      </c>
      <c r="O314" s="10">
        <f>(K314+M314)/G314</f>
        <v/>
      </c>
      <c r="P314" s="10">
        <f>L314/G314</f>
        <v/>
      </c>
      <c r="Q314" s="10">
        <f>N314*D314/1000</f>
        <v/>
      </c>
      <c r="R314" s="11">
        <f>K314*D314/1000</f>
        <v/>
      </c>
      <c r="S314" s="11">
        <f>L314*D314/1000</f>
        <v/>
      </c>
    </row>
    <row r="315" ht="46.5" customHeight="1">
      <c r="A315" s="25" t="n"/>
      <c r="B315" s="25" t="n"/>
      <c r="C315" s="25" t="n"/>
      <c r="D315" s="25" t="n"/>
      <c r="E315" s="25" t="n"/>
      <c r="F315" s="25" t="n"/>
      <c r="G315" s="25" t="n"/>
      <c r="H315" s="25" t="n"/>
      <c r="I315" s="25" t="n"/>
      <c r="J315" s="25" t="n"/>
      <c r="K315" s="37" t="n"/>
      <c r="L315" s="37" t="n"/>
      <c r="M315" s="37" t="n"/>
      <c r="N315" s="10">
        <f>G315*2400+K315+L315+M315</f>
        <v/>
      </c>
      <c r="O315" s="10">
        <f>(K315+M315)/G315</f>
        <v/>
      </c>
      <c r="P315" s="10">
        <f>L315/G315</f>
        <v/>
      </c>
      <c r="Q315" s="10">
        <f>N315*D315/1000</f>
        <v/>
      </c>
      <c r="R315" s="11">
        <f>K315*D315/1000</f>
        <v/>
      </c>
      <c r="S315" s="11">
        <f>L315*D315/1000</f>
        <v/>
      </c>
    </row>
    <row r="316" ht="46.5" customHeight="1">
      <c r="A316" s="25" t="n"/>
      <c r="B316" s="25" t="n"/>
      <c r="C316" s="25" t="n"/>
      <c r="D316" s="25" t="n"/>
      <c r="E316" s="25" t="n"/>
      <c r="F316" s="25" t="n"/>
      <c r="G316" s="25" t="n"/>
      <c r="H316" s="25" t="n"/>
      <c r="I316" s="25" t="n"/>
      <c r="J316" s="25" t="n"/>
      <c r="K316" s="37" t="n"/>
      <c r="L316" s="37" t="n"/>
      <c r="M316" s="37" t="n"/>
      <c r="N316" s="10">
        <f>G316*2400+K316+L316+M316</f>
        <v/>
      </c>
      <c r="O316" s="10">
        <f>(K316+M316)/G316</f>
        <v/>
      </c>
      <c r="P316" s="10">
        <f>L316/G316</f>
        <v/>
      </c>
      <c r="Q316" s="10">
        <f>N316*D316/1000</f>
        <v/>
      </c>
      <c r="R316" s="11">
        <f>K316*D316/1000</f>
        <v/>
      </c>
      <c r="S316" s="11">
        <f>L316*D316/1000</f>
        <v/>
      </c>
    </row>
    <row r="317" ht="46.5" customHeight="1">
      <c r="A317" s="25" t="n"/>
      <c r="B317" s="25" t="n"/>
      <c r="C317" s="25" t="n"/>
      <c r="D317" s="25" t="n"/>
      <c r="E317" s="25" t="n"/>
      <c r="F317" s="25" t="n"/>
      <c r="G317" s="25" t="n"/>
      <c r="H317" s="25" t="n"/>
      <c r="I317" s="25" t="n"/>
      <c r="J317" s="25" t="n"/>
      <c r="K317" s="37" t="n"/>
      <c r="L317" s="37" t="n"/>
      <c r="M317" s="37" t="n"/>
      <c r="N317" s="10">
        <f>G317*2400+K317+L317+M317</f>
        <v/>
      </c>
      <c r="O317" s="10">
        <f>(K317+M317)/G317</f>
        <v/>
      </c>
      <c r="P317" s="10">
        <f>L317/G317</f>
        <v/>
      </c>
      <c r="Q317" s="10">
        <f>N317*D317/1000</f>
        <v/>
      </c>
      <c r="R317" s="11">
        <f>K317*D317/1000</f>
        <v/>
      </c>
      <c r="S317" s="11">
        <f>L317*D317/1000</f>
        <v/>
      </c>
    </row>
    <row r="318" ht="46.5" customHeight="1">
      <c r="A318" s="25" t="n"/>
      <c r="B318" s="25" t="n"/>
      <c r="C318" s="25" t="n"/>
      <c r="D318" s="25" t="n"/>
      <c r="E318" s="25" t="n"/>
      <c r="F318" s="25" t="n"/>
      <c r="G318" s="25" t="n"/>
      <c r="H318" s="25" t="n"/>
      <c r="I318" s="25" t="n"/>
      <c r="J318" s="25" t="n"/>
      <c r="K318" s="37" t="n"/>
      <c r="L318" s="37" t="n"/>
      <c r="M318" s="37" t="n"/>
      <c r="N318" s="10">
        <f>G318*2400+K318+L318+M318</f>
        <v/>
      </c>
      <c r="O318" s="10">
        <f>(K318+M318)/G318</f>
        <v/>
      </c>
      <c r="P318" s="10">
        <f>L318/G318</f>
        <v/>
      </c>
      <c r="Q318" s="10">
        <f>N318*D318/1000</f>
        <v/>
      </c>
      <c r="R318" s="11">
        <f>K318*D318/1000</f>
        <v/>
      </c>
      <c r="S318" s="11">
        <f>L318*D318/1000</f>
        <v/>
      </c>
    </row>
    <row r="319" ht="46.5" customHeight="1">
      <c r="A319" s="25" t="n"/>
      <c r="B319" s="25" t="n"/>
      <c r="C319" s="25" t="n"/>
      <c r="D319" s="25" t="n"/>
      <c r="E319" s="25" t="n"/>
      <c r="F319" s="25" t="n"/>
      <c r="G319" s="25" t="n"/>
      <c r="H319" s="25" t="n"/>
      <c r="I319" s="25" t="n"/>
      <c r="J319" s="25" t="n"/>
      <c r="K319" s="37" t="n"/>
      <c r="L319" s="37" t="n"/>
      <c r="M319" s="37" t="n"/>
      <c r="N319" s="10">
        <f>G319*2400+K319+L319+M319</f>
        <v/>
      </c>
      <c r="O319" s="10">
        <f>(K319+M319)/G319</f>
        <v/>
      </c>
      <c r="P319" s="10">
        <f>L319/G319</f>
        <v/>
      </c>
      <c r="Q319" s="10">
        <f>N319*D319/1000</f>
        <v/>
      </c>
      <c r="R319" s="11">
        <f>K319*D319/1000</f>
        <v/>
      </c>
      <c r="S319" s="11">
        <f>L319*D319/1000</f>
        <v/>
      </c>
    </row>
    <row r="320" ht="46.5" customHeight="1">
      <c r="A320" s="25" t="n"/>
      <c r="B320" s="25" t="n"/>
      <c r="C320" s="25" t="n"/>
      <c r="D320" s="25" t="n"/>
      <c r="E320" s="25" t="n"/>
      <c r="F320" s="25" t="n"/>
      <c r="G320" s="25" t="n"/>
      <c r="H320" s="25" t="n"/>
      <c r="I320" s="25" t="n"/>
      <c r="J320" s="25" t="n"/>
      <c r="K320" s="37" t="n"/>
      <c r="L320" s="37" t="n"/>
      <c r="M320" s="37" t="n"/>
      <c r="N320" s="10">
        <f>G320*2400+K320+L320+M320</f>
        <v/>
      </c>
      <c r="O320" s="10">
        <f>(K320+M320)/G320</f>
        <v/>
      </c>
      <c r="P320" s="10">
        <f>L320/G320</f>
        <v/>
      </c>
      <c r="Q320" s="10">
        <f>N320*D320/1000</f>
        <v/>
      </c>
      <c r="R320" s="11">
        <f>K320*D320/1000</f>
        <v/>
      </c>
      <c r="S320" s="11">
        <f>L320*D320/1000</f>
        <v/>
      </c>
    </row>
    <row r="321" ht="46.5" customHeight="1">
      <c r="A321" s="25" t="n"/>
      <c r="B321" s="25" t="n"/>
      <c r="C321" s="25" t="n"/>
      <c r="D321" s="25" t="n"/>
      <c r="E321" s="25" t="n"/>
      <c r="F321" s="25" t="n"/>
      <c r="G321" s="25" t="n"/>
      <c r="H321" s="25" t="n"/>
      <c r="I321" s="25" t="n"/>
      <c r="J321" s="25" t="n"/>
      <c r="K321" s="37" t="n"/>
      <c r="L321" s="37" t="n"/>
      <c r="M321" s="37" t="n"/>
      <c r="N321" s="10">
        <f>G321*2400+K321+L321+M321</f>
        <v/>
      </c>
      <c r="O321" s="10">
        <f>(K321+M321)/G321</f>
        <v/>
      </c>
      <c r="P321" s="10">
        <f>L321/G321</f>
        <v/>
      </c>
      <c r="Q321" s="10">
        <f>N321*D321/1000</f>
        <v/>
      </c>
      <c r="R321" s="11">
        <f>K321*D321/1000</f>
        <v/>
      </c>
      <c r="S321" s="11">
        <f>L321*D321/1000</f>
        <v/>
      </c>
    </row>
    <row r="322" ht="46.5" customHeight="1">
      <c r="A322" s="25" t="n"/>
      <c r="B322" s="25" t="n"/>
      <c r="C322" s="25" t="n"/>
      <c r="D322" s="25" t="n"/>
      <c r="E322" s="25" t="n"/>
      <c r="F322" s="25" t="n"/>
      <c r="G322" s="25" t="n"/>
      <c r="H322" s="25" t="n"/>
      <c r="I322" s="25" t="n"/>
      <c r="J322" s="25" t="n"/>
      <c r="K322" s="37" t="n"/>
      <c r="L322" s="37" t="n"/>
      <c r="M322" s="37" t="n"/>
      <c r="N322" s="10">
        <f>G322*2400+K322+L322+M322</f>
        <v/>
      </c>
      <c r="O322" s="10">
        <f>(K322+M322)/G322</f>
        <v/>
      </c>
      <c r="P322" s="10">
        <f>L322/G322</f>
        <v/>
      </c>
      <c r="Q322" s="10">
        <f>N322*D322/1000</f>
        <v/>
      </c>
      <c r="R322" s="11">
        <f>K322*D322/1000</f>
        <v/>
      </c>
      <c r="S322" s="11">
        <f>L322*D322/1000</f>
        <v/>
      </c>
    </row>
    <row r="323" ht="46.5" customHeight="1">
      <c r="A323" s="25" t="n"/>
      <c r="B323" s="25" t="n"/>
      <c r="C323" s="25" t="n"/>
      <c r="D323" s="25" t="n"/>
      <c r="E323" s="25" t="n"/>
      <c r="F323" s="25" t="n"/>
      <c r="G323" s="25" t="n"/>
      <c r="H323" s="25" t="n"/>
      <c r="I323" s="25" t="n"/>
      <c r="J323" s="25" t="n"/>
      <c r="K323" s="37" t="n"/>
      <c r="L323" s="37" t="n"/>
      <c r="M323" s="37" t="n"/>
      <c r="N323" s="10">
        <f>G323*2400+K323+L323+M323</f>
        <v/>
      </c>
      <c r="O323" s="10">
        <f>(K323+M323)/G323</f>
        <v/>
      </c>
      <c r="P323" s="10">
        <f>L323/G323</f>
        <v/>
      </c>
      <c r="Q323" s="10">
        <f>N323*D323/1000</f>
        <v/>
      </c>
      <c r="R323" s="11">
        <f>K323*D323/1000</f>
        <v/>
      </c>
      <c r="S323" s="11">
        <f>L323*D323/1000</f>
        <v/>
      </c>
    </row>
    <row r="324" ht="46.5" customHeight="1">
      <c r="A324" s="25" t="n"/>
      <c r="B324" s="25" t="n"/>
      <c r="C324" s="25" t="n"/>
      <c r="D324" s="25" t="n"/>
      <c r="E324" s="25" t="n"/>
      <c r="F324" s="25" t="n"/>
      <c r="G324" s="25" t="n"/>
      <c r="H324" s="25" t="n"/>
      <c r="I324" s="25" t="n"/>
      <c r="J324" s="25" t="n"/>
      <c r="K324" s="37" t="n"/>
      <c r="L324" s="37" t="n"/>
      <c r="M324" s="37" t="n"/>
      <c r="N324" s="10">
        <f>G324*2400+K324+L324+M324</f>
        <v/>
      </c>
      <c r="O324" s="10">
        <f>(K324+M324)/G324</f>
        <v/>
      </c>
      <c r="P324" s="10">
        <f>L324/G324</f>
        <v/>
      </c>
      <c r="Q324" s="10">
        <f>N324*D324/1000</f>
        <v/>
      </c>
      <c r="R324" s="11">
        <f>K324*D324/1000</f>
        <v/>
      </c>
      <c r="S324" s="11">
        <f>L324*D324/1000</f>
        <v/>
      </c>
    </row>
    <row r="325" ht="46.5" customHeight="1">
      <c r="A325" s="25" t="n"/>
      <c r="B325" s="25" t="n"/>
      <c r="C325" s="25" t="n"/>
      <c r="D325" s="25" t="n"/>
      <c r="E325" s="25" t="n"/>
      <c r="F325" s="25" t="n"/>
      <c r="G325" s="25" t="n"/>
      <c r="H325" s="25" t="n"/>
      <c r="I325" s="25" t="n"/>
      <c r="J325" s="25" t="n"/>
      <c r="K325" s="37" t="n"/>
      <c r="L325" s="37" t="n"/>
      <c r="M325" s="37" t="n"/>
      <c r="N325" s="10">
        <f>G325*2400+K325+L325+M325</f>
        <v/>
      </c>
      <c r="O325" s="10">
        <f>(K325+M325)/G325</f>
        <v/>
      </c>
      <c r="P325" s="10">
        <f>L325/G325</f>
        <v/>
      </c>
      <c r="Q325" s="10">
        <f>N325*D325/1000</f>
        <v/>
      </c>
      <c r="R325" s="11">
        <f>K325*D325/1000</f>
        <v/>
      </c>
      <c r="S325" s="11">
        <f>L325*D325/1000</f>
        <v/>
      </c>
    </row>
    <row r="326" ht="46.5" customHeight="1">
      <c r="A326" s="25" t="n"/>
      <c r="B326" s="25" t="n"/>
      <c r="C326" s="25" t="n"/>
      <c r="D326" s="25" t="n"/>
      <c r="E326" s="25" t="n"/>
      <c r="F326" s="25" t="n"/>
      <c r="G326" s="25" t="n"/>
      <c r="H326" s="25" t="n"/>
      <c r="I326" s="25" t="n"/>
      <c r="J326" s="25" t="n"/>
      <c r="K326" s="37" t="n"/>
      <c r="L326" s="37" t="n"/>
      <c r="M326" s="37" t="n"/>
      <c r="N326" s="10">
        <f>G326*2400+K326+L326+M326</f>
        <v/>
      </c>
      <c r="O326" s="10">
        <f>(K326+M326)/G326</f>
        <v/>
      </c>
      <c r="P326" s="10">
        <f>L326/G326</f>
        <v/>
      </c>
      <c r="Q326" s="10">
        <f>N326*D326/1000</f>
        <v/>
      </c>
      <c r="R326" s="11">
        <f>K326*D326/1000</f>
        <v/>
      </c>
      <c r="S326" s="11">
        <f>L326*D326/1000</f>
        <v/>
      </c>
    </row>
    <row r="327" ht="46.5" customHeight="1">
      <c r="A327" s="25" t="n"/>
      <c r="B327" s="25" t="n"/>
      <c r="C327" s="25" t="n"/>
      <c r="D327" s="25" t="n"/>
      <c r="E327" s="25" t="n"/>
      <c r="F327" s="25" t="n"/>
      <c r="G327" s="25" t="n"/>
      <c r="H327" s="25" t="n"/>
      <c r="I327" s="25" t="n"/>
      <c r="J327" s="25" t="n"/>
      <c r="K327" s="37" t="n"/>
      <c r="L327" s="37" t="n"/>
      <c r="M327" s="37" t="n"/>
      <c r="N327" s="10">
        <f>G327*2400+K327+L327+M327</f>
        <v/>
      </c>
      <c r="O327" s="10">
        <f>(K327+M327)/G327</f>
        <v/>
      </c>
      <c r="P327" s="10">
        <f>L327/G327</f>
        <v/>
      </c>
      <c r="Q327" s="10">
        <f>N327*D327/1000</f>
        <v/>
      </c>
      <c r="R327" s="11">
        <f>K327*D327/1000</f>
        <v/>
      </c>
      <c r="S327" s="11">
        <f>L327*D327/1000</f>
        <v/>
      </c>
    </row>
    <row r="328" ht="46.5" customHeight="1">
      <c r="A328" s="25" t="n"/>
      <c r="B328" s="25" t="n"/>
      <c r="C328" s="25" t="n"/>
      <c r="D328" s="25" t="n"/>
      <c r="E328" s="25" t="n"/>
      <c r="F328" s="25" t="n"/>
      <c r="G328" s="25" t="n"/>
      <c r="H328" s="25" t="n"/>
      <c r="I328" s="25" t="n"/>
      <c r="J328" s="25" t="n"/>
      <c r="K328" s="37" t="n"/>
      <c r="L328" s="37" t="n"/>
      <c r="M328" s="37" t="n"/>
      <c r="N328" s="10">
        <f>G328*2400+K328+L328+M328</f>
        <v/>
      </c>
      <c r="O328" s="10">
        <f>(K328+M328)/G328</f>
        <v/>
      </c>
      <c r="P328" s="10">
        <f>L328/G328</f>
        <v/>
      </c>
      <c r="Q328" s="10">
        <f>N328*D328/1000</f>
        <v/>
      </c>
      <c r="R328" s="11">
        <f>K328*D328/1000</f>
        <v/>
      </c>
      <c r="S328" s="11">
        <f>L328*D328/1000</f>
        <v/>
      </c>
    </row>
    <row r="329" ht="46.5" customHeight="1">
      <c r="A329" s="25" t="n"/>
      <c r="B329" s="25" t="n"/>
      <c r="C329" s="25" t="n"/>
      <c r="D329" s="25" t="n"/>
      <c r="E329" s="25" t="n"/>
      <c r="F329" s="25" t="n"/>
      <c r="G329" s="25" t="n"/>
      <c r="H329" s="25" t="n"/>
      <c r="I329" s="25" t="n"/>
      <c r="J329" s="25" t="n"/>
      <c r="K329" s="37" t="n"/>
      <c r="L329" s="37" t="n"/>
      <c r="M329" s="37" t="n"/>
      <c r="N329" s="10">
        <f>G329*2400+K329+L329+M329</f>
        <v/>
      </c>
      <c r="O329" s="10">
        <f>(K329+M329)/G329</f>
        <v/>
      </c>
      <c r="P329" s="10">
        <f>L329/G329</f>
        <v/>
      </c>
      <c r="Q329" s="10">
        <f>N329*D329/1000</f>
        <v/>
      </c>
      <c r="R329" s="11">
        <f>K329*D329/1000</f>
        <v/>
      </c>
      <c r="S329" s="11">
        <f>L329*D329/1000</f>
        <v/>
      </c>
    </row>
    <row r="330" ht="46.5" customHeight="1">
      <c r="A330" s="25" t="n"/>
      <c r="B330" s="25" t="n"/>
      <c r="C330" s="25" t="n"/>
      <c r="D330" s="25" t="n"/>
      <c r="E330" s="25" t="n"/>
      <c r="F330" s="25" t="n"/>
      <c r="G330" s="25" t="n"/>
      <c r="H330" s="25" t="n"/>
      <c r="I330" s="25" t="n"/>
      <c r="J330" s="25" t="n"/>
      <c r="K330" s="37" t="n"/>
      <c r="L330" s="37" t="n"/>
      <c r="M330" s="37" t="n"/>
      <c r="N330" s="10">
        <f>G330*2400+K330+L330+M330</f>
        <v/>
      </c>
      <c r="O330" s="10">
        <f>(K330+M330)/G330</f>
        <v/>
      </c>
      <c r="P330" s="10">
        <f>L330/G330</f>
        <v/>
      </c>
      <c r="Q330" s="10">
        <f>N330*D330/1000</f>
        <v/>
      </c>
      <c r="R330" s="11">
        <f>K330*D330/1000</f>
        <v/>
      </c>
      <c r="S330" s="11">
        <f>L330*D330/1000</f>
        <v/>
      </c>
    </row>
    <row r="331" ht="46.5" customHeight="1">
      <c r="A331" s="25" t="n"/>
      <c r="B331" s="25" t="n"/>
      <c r="C331" s="25" t="n"/>
      <c r="D331" s="25" t="n"/>
      <c r="E331" s="25" t="n"/>
      <c r="F331" s="25" t="n"/>
      <c r="G331" s="25" t="n"/>
      <c r="H331" s="25" t="n"/>
      <c r="I331" s="25" t="n"/>
      <c r="J331" s="25" t="n"/>
      <c r="K331" s="37" t="n"/>
      <c r="L331" s="37" t="n"/>
      <c r="M331" s="37" t="n"/>
      <c r="N331" s="10">
        <f>G331*2400+K331+L331+M331</f>
        <v/>
      </c>
      <c r="O331" s="10">
        <f>(K331+M331)/G331</f>
        <v/>
      </c>
      <c r="P331" s="10">
        <f>L331/G331</f>
        <v/>
      </c>
      <c r="Q331" s="10">
        <f>N331*D331/1000</f>
        <v/>
      </c>
      <c r="R331" s="11">
        <f>K331*D331/1000</f>
        <v/>
      </c>
      <c r="S331" s="11">
        <f>L331*D331/1000</f>
        <v/>
      </c>
    </row>
    <row r="332" ht="46.5" customHeight="1">
      <c r="A332" s="25" t="n"/>
      <c r="B332" s="25" t="n"/>
      <c r="C332" s="25" t="n"/>
      <c r="D332" s="25" t="n"/>
      <c r="E332" s="25" t="n"/>
      <c r="F332" s="25" t="n"/>
      <c r="G332" s="25" t="n"/>
      <c r="H332" s="25" t="n"/>
      <c r="I332" s="25" t="n"/>
      <c r="J332" s="25" t="n"/>
      <c r="K332" s="37" t="n"/>
      <c r="L332" s="37" t="n"/>
      <c r="M332" s="37" t="n"/>
      <c r="N332" s="10">
        <f>G332*2400+K332+L332+M332</f>
        <v/>
      </c>
      <c r="O332" s="10">
        <f>(K332+M332)/G332</f>
        <v/>
      </c>
      <c r="P332" s="10">
        <f>L332/G332</f>
        <v/>
      </c>
      <c r="Q332" s="10">
        <f>N332*D332/1000</f>
        <v/>
      </c>
      <c r="R332" s="11">
        <f>K332*D332/1000</f>
        <v/>
      </c>
      <c r="S332" s="11">
        <f>L332*D332/1000</f>
        <v/>
      </c>
    </row>
    <row r="333" ht="46.5" customHeight="1">
      <c r="A333" s="25" t="n"/>
      <c r="B333" s="25" t="n"/>
      <c r="C333" s="25" t="n"/>
      <c r="D333" s="25" t="n"/>
      <c r="E333" s="25" t="n"/>
      <c r="F333" s="25" t="n"/>
      <c r="G333" s="25" t="n"/>
      <c r="H333" s="25" t="n"/>
      <c r="I333" s="25" t="n"/>
      <c r="J333" s="25" t="n"/>
      <c r="K333" s="37" t="n"/>
      <c r="L333" s="37" t="n"/>
      <c r="M333" s="37" t="n"/>
      <c r="N333" s="10">
        <f>G333*2400+K333+L333+M333</f>
        <v/>
      </c>
      <c r="O333" s="10">
        <f>(K333+M333)/G333</f>
        <v/>
      </c>
      <c r="P333" s="10">
        <f>L333/G333</f>
        <v/>
      </c>
      <c r="Q333" s="10">
        <f>N333*D333/1000</f>
        <v/>
      </c>
      <c r="R333" s="11">
        <f>K333*D333/1000</f>
        <v/>
      </c>
      <c r="S333" s="11">
        <f>L333*D333/1000</f>
        <v/>
      </c>
    </row>
    <row r="334" ht="46.5" customHeight="1">
      <c r="A334" s="25" t="n"/>
      <c r="B334" s="25" t="n"/>
      <c r="C334" s="25" t="n"/>
      <c r="D334" s="25" t="n"/>
      <c r="E334" s="25" t="n"/>
      <c r="F334" s="25" t="n"/>
      <c r="G334" s="25" t="n"/>
      <c r="H334" s="25" t="n"/>
      <c r="I334" s="25" t="n"/>
      <c r="J334" s="25" t="n"/>
      <c r="K334" s="37" t="n"/>
      <c r="L334" s="37" t="n"/>
      <c r="M334" s="37" t="n"/>
      <c r="N334" s="10">
        <f>G334*2400+K334+L334+M334</f>
        <v/>
      </c>
      <c r="O334" s="10">
        <f>(K334+M334)/G334</f>
        <v/>
      </c>
      <c r="P334" s="10">
        <f>L334/G334</f>
        <v/>
      </c>
      <c r="Q334" s="10">
        <f>N334*D334/1000</f>
        <v/>
      </c>
      <c r="R334" s="11">
        <f>K334*D334/1000</f>
        <v/>
      </c>
      <c r="S334" s="11">
        <f>L334*D334/1000</f>
        <v/>
      </c>
    </row>
    <row r="335" ht="46.5" customHeight="1">
      <c r="A335" s="25" t="n"/>
      <c r="B335" s="25" t="n"/>
      <c r="C335" s="25" t="n"/>
      <c r="D335" s="25" t="n"/>
      <c r="E335" s="25" t="n"/>
      <c r="F335" s="25" t="n"/>
      <c r="G335" s="25" t="n"/>
      <c r="H335" s="25" t="n"/>
      <c r="I335" s="25" t="n"/>
      <c r="J335" s="25" t="n"/>
      <c r="K335" s="37" t="n"/>
      <c r="L335" s="37" t="n"/>
      <c r="M335" s="37" t="n"/>
      <c r="N335" s="10">
        <f>G335*2400+K335+L335+M335</f>
        <v/>
      </c>
      <c r="O335" s="10">
        <f>(K335+M335)/G335</f>
        <v/>
      </c>
      <c r="P335" s="10">
        <f>L335/G335</f>
        <v/>
      </c>
      <c r="Q335" s="10">
        <f>N335*D335/1000</f>
        <v/>
      </c>
      <c r="R335" s="11">
        <f>K335*D335/1000</f>
        <v/>
      </c>
      <c r="S335" s="11">
        <f>L335*D335/1000</f>
        <v/>
      </c>
    </row>
    <row r="336" ht="46.5" customHeight="1">
      <c r="A336" s="25" t="n"/>
      <c r="B336" s="25" t="n"/>
      <c r="C336" s="25" t="n"/>
      <c r="D336" s="25" t="n"/>
      <c r="E336" s="25" t="n"/>
      <c r="F336" s="25" t="n"/>
      <c r="G336" s="25" t="n"/>
      <c r="H336" s="25" t="n"/>
      <c r="I336" s="25" t="n"/>
      <c r="J336" s="25" t="n"/>
      <c r="K336" s="37" t="n"/>
      <c r="L336" s="37" t="n"/>
      <c r="M336" s="37" t="n"/>
      <c r="N336" s="10">
        <f>G336*2400+K336+L336+M336</f>
        <v/>
      </c>
      <c r="O336" s="10">
        <f>(K336+M336)/G336</f>
        <v/>
      </c>
      <c r="P336" s="10">
        <f>L336/G336</f>
        <v/>
      </c>
      <c r="Q336" s="10">
        <f>N336*D336/1000</f>
        <v/>
      </c>
      <c r="R336" s="11">
        <f>K336*D336/1000</f>
        <v/>
      </c>
      <c r="S336" s="11">
        <f>L336*D336/1000</f>
        <v/>
      </c>
    </row>
    <row r="337" ht="46.5" customHeight="1">
      <c r="A337" s="25" t="n"/>
      <c r="B337" s="25" t="n"/>
      <c r="C337" s="25" t="n"/>
      <c r="D337" s="25" t="n"/>
      <c r="E337" s="25" t="n"/>
      <c r="F337" s="25" t="n"/>
      <c r="G337" s="25" t="n"/>
      <c r="H337" s="25" t="n"/>
      <c r="I337" s="25" t="n"/>
      <c r="J337" s="25" t="n"/>
      <c r="K337" s="37" t="n"/>
      <c r="L337" s="37" t="n"/>
      <c r="M337" s="37" t="n"/>
      <c r="N337" s="10">
        <f>G337*2400+K337+L337+M337</f>
        <v/>
      </c>
      <c r="O337" s="10">
        <f>(K337+M337)/G337</f>
        <v/>
      </c>
      <c r="P337" s="10">
        <f>L337/G337</f>
        <v/>
      </c>
      <c r="Q337" s="10">
        <f>N337*D337/1000</f>
        <v/>
      </c>
      <c r="R337" s="11">
        <f>K337*D337/1000</f>
        <v/>
      </c>
      <c r="S337" s="11">
        <f>L337*D337/1000</f>
        <v/>
      </c>
    </row>
    <row r="338" ht="46.5" customHeight="1">
      <c r="A338" s="25" t="n"/>
      <c r="B338" s="25" t="n"/>
      <c r="C338" s="25" t="n"/>
      <c r="D338" s="25" t="n"/>
      <c r="E338" s="25" t="n"/>
      <c r="F338" s="25" t="n"/>
      <c r="G338" s="25" t="n"/>
      <c r="H338" s="25" t="n"/>
      <c r="I338" s="25" t="n"/>
      <c r="J338" s="25" t="n"/>
      <c r="K338" s="37" t="n"/>
      <c r="L338" s="37" t="n"/>
      <c r="M338" s="37" t="n"/>
      <c r="N338" s="10">
        <f>G338*2400+K338+L338+M338</f>
        <v/>
      </c>
      <c r="O338" s="10">
        <f>(K338+M338)/G338</f>
        <v/>
      </c>
      <c r="P338" s="10">
        <f>L338/G338</f>
        <v/>
      </c>
      <c r="Q338" s="10">
        <f>N338*D338/1000</f>
        <v/>
      </c>
      <c r="R338" s="11">
        <f>K338*D338/1000</f>
        <v/>
      </c>
      <c r="S338" s="11">
        <f>L338*D338/1000</f>
        <v/>
      </c>
    </row>
    <row r="339" ht="46.5" customHeight="1">
      <c r="A339" s="25" t="n"/>
      <c r="B339" s="25" t="n"/>
      <c r="C339" s="25" t="n"/>
      <c r="D339" s="25" t="n"/>
      <c r="E339" s="25" t="n"/>
      <c r="F339" s="25" t="n"/>
      <c r="G339" s="25" t="n"/>
      <c r="H339" s="25" t="n"/>
      <c r="I339" s="25" t="n"/>
      <c r="J339" s="25" t="n"/>
      <c r="K339" s="37" t="n"/>
      <c r="L339" s="37" t="n"/>
      <c r="M339" s="37" t="n"/>
      <c r="N339" s="10">
        <f>G339*2400+K339+L339+M339</f>
        <v/>
      </c>
      <c r="O339" s="10">
        <f>(K339+M339)/G339</f>
        <v/>
      </c>
      <c r="P339" s="10">
        <f>L339/G339</f>
        <v/>
      </c>
      <c r="Q339" s="10">
        <f>N339*D339/1000</f>
        <v/>
      </c>
      <c r="R339" s="11">
        <f>K339*D339/1000</f>
        <v/>
      </c>
      <c r="S339" s="11">
        <f>L339*D339/1000</f>
        <v/>
      </c>
    </row>
    <row r="340" ht="46.5" customHeight="1">
      <c r="A340" s="25" t="n"/>
      <c r="B340" s="25" t="n"/>
      <c r="C340" s="25" t="n"/>
      <c r="D340" s="25" t="n"/>
      <c r="E340" s="25" t="n"/>
      <c r="F340" s="25" t="n"/>
      <c r="G340" s="25" t="n"/>
      <c r="H340" s="25" t="n"/>
      <c r="I340" s="25" t="n"/>
      <c r="J340" s="25" t="n"/>
      <c r="K340" s="37" t="n"/>
      <c r="L340" s="37" t="n"/>
      <c r="M340" s="37" t="n"/>
      <c r="N340" s="10">
        <f>G340*2400+K340+L340+M340</f>
        <v/>
      </c>
      <c r="O340" s="10">
        <f>(K340+M340)/G340</f>
        <v/>
      </c>
      <c r="P340" s="10">
        <f>L340/G340</f>
        <v/>
      </c>
      <c r="Q340" s="10">
        <f>N340*D340/1000</f>
        <v/>
      </c>
      <c r="R340" s="11">
        <f>K340*D340/1000</f>
        <v/>
      </c>
      <c r="S340" s="11">
        <f>L340*D340/1000</f>
        <v/>
      </c>
    </row>
    <row r="341" ht="46.5" customHeight="1">
      <c r="A341" s="25" t="n"/>
      <c r="B341" s="25" t="n"/>
      <c r="C341" s="25" t="n"/>
      <c r="D341" s="25" t="n"/>
      <c r="E341" s="25" t="n"/>
      <c r="F341" s="25" t="n"/>
      <c r="G341" s="25" t="n"/>
      <c r="H341" s="25" t="n"/>
      <c r="I341" s="25" t="n"/>
      <c r="J341" s="25" t="n"/>
      <c r="K341" s="37" t="n"/>
      <c r="L341" s="37" t="n"/>
      <c r="M341" s="37" t="n"/>
      <c r="N341" s="10">
        <f>G341*2400+K341+L341+M341</f>
        <v/>
      </c>
      <c r="O341" s="10">
        <f>(K341+M341)/G341</f>
        <v/>
      </c>
      <c r="P341" s="10">
        <f>L341/G341</f>
        <v/>
      </c>
      <c r="Q341" s="10">
        <f>N341*D341/1000</f>
        <v/>
      </c>
      <c r="R341" s="11">
        <f>K341*D341/1000</f>
        <v/>
      </c>
      <c r="S341" s="11">
        <f>L341*D341/1000</f>
        <v/>
      </c>
    </row>
    <row r="342" ht="46.5" customHeight="1">
      <c r="A342" s="25" t="n"/>
      <c r="B342" s="25" t="n"/>
      <c r="C342" s="25" t="n"/>
      <c r="D342" s="25" t="n"/>
      <c r="E342" s="25" t="n"/>
      <c r="F342" s="25" t="n"/>
      <c r="G342" s="25" t="n"/>
      <c r="H342" s="25" t="n"/>
      <c r="I342" s="25" t="n"/>
      <c r="J342" s="25" t="n"/>
      <c r="K342" s="37" t="n"/>
      <c r="L342" s="37" t="n"/>
      <c r="M342" s="37" t="n"/>
      <c r="N342" s="10">
        <f>G342*2400+K342+L342+M342</f>
        <v/>
      </c>
      <c r="O342" s="10">
        <f>(K342+M342)/G342</f>
        <v/>
      </c>
      <c r="P342" s="10">
        <f>L342/G342</f>
        <v/>
      </c>
      <c r="Q342" s="10">
        <f>N342*D342/1000</f>
        <v/>
      </c>
      <c r="R342" s="11">
        <f>K342*D342/1000</f>
        <v/>
      </c>
      <c r="S342" s="11">
        <f>L342*D342/1000</f>
        <v/>
      </c>
    </row>
    <row r="343" ht="46.5" customHeight="1">
      <c r="A343" s="25" t="n"/>
      <c r="B343" s="25" t="n"/>
      <c r="C343" s="25" t="n"/>
      <c r="D343" s="25" t="n"/>
      <c r="E343" s="25" t="n"/>
      <c r="F343" s="25" t="n"/>
      <c r="G343" s="25" t="n"/>
      <c r="H343" s="25" t="n"/>
      <c r="I343" s="25" t="n"/>
      <c r="J343" s="25" t="n"/>
      <c r="K343" s="37" t="n"/>
      <c r="L343" s="37" t="n"/>
      <c r="M343" s="37" t="n"/>
      <c r="N343" s="10">
        <f>G343*2400+K343+L343+M343</f>
        <v/>
      </c>
      <c r="O343" s="10">
        <f>(K343+M343)/G343</f>
        <v/>
      </c>
      <c r="P343" s="10">
        <f>L343/G343</f>
        <v/>
      </c>
      <c r="Q343" s="10">
        <f>N343*D343/1000</f>
        <v/>
      </c>
      <c r="R343" s="11">
        <f>K343*D343/1000</f>
        <v/>
      </c>
      <c r="S343" s="11">
        <f>L343*D343/1000</f>
        <v/>
      </c>
    </row>
    <row r="344" ht="46.5" customHeight="1">
      <c r="A344" s="25" t="n"/>
      <c r="B344" s="25" t="n"/>
      <c r="C344" s="25" t="n"/>
      <c r="D344" s="25" t="n"/>
      <c r="E344" s="25" t="n"/>
      <c r="F344" s="25" t="n"/>
      <c r="G344" s="25" t="n"/>
      <c r="H344" s="25" t="n"/>
      <c r="I344" s="25" t="n"/>
      <c r="J344" s="25" t="n"/>
      <c r="K344" s="37" t="n"/>
      <c r="L344" s="37" t="n"/>
      <c r="M344" s="37" t="n"/>
      <c r="N344" s="10">
        <f>G344*2400+K344+L344+M344</f>
        <v/>
      </c>
      <c r="O344" s="10">
        <f>(K344+M344)/G344</f>
        <v/>
      </c>
      <c r="P344" s="10">
        <f>L344/G344</f>
        <v/>
      </c>
      <c r="Q344" s="10">
        <f>N344*D344/1000</f>
        <v/>
      </c>
      <c r="R344" s="11">
        <f>K344*D344/1000</f>
        <v/>
      </c>
      <c r="S344" s="11">
        <f>L344*D344/1000</f>
        <v/>
      </c>
    </row>
    <row r="345" ht="46.5" customHeight="1">
      <c r="A345" s="25" t="n"/>
      <c r="B345" s="25" t="n"/>
      <c r="C345" s="25" t="n"/>
      <c r="D345" s="25" t="n"/>
      <c r="E345" s="25" t="n"/>
      <c r="F345" s="25" t="n"/>
      <c r="G345" s="25" t="n"/>
      <c r="H345" s="25" t="n"/>
      <c r="I345" s="25" t="n"/>
      <c r="J345" s="25" t="n"/>
      <c r="K345" s="37" t="n"/>
      <c r="L345" s="37" t="n"/>
      <c r="M345" s="37" t="n"/>
      <c r="N345" s="10">
        <f>G345*2400+K345+L345+M345</f>
        <v/>
      </c>
      <c r="O345" s="10">
        <f>(K345+M345)/G345</f>
        <v/>
      </c>
      <c r="P345" s="10">
        <f>L345/G345</f>
        <v/>
      </c>
      <c r="Q345" s="10">
        <f>N345*D345/1000</f>
        <v/>
      </c>
      <c r="R345" s="11">
        <f>K345*D345/1000</f>
        <v/>
      </c>
      <c r="S345" s="11">
        <f>L345*D345/1000</f>
        <v/>
      </c>
    </row>
    <row r="346" ht="46.5" customHeight="1">
      <c r="A346" s="25" t="n"/>
      <c r="B346" s="25" t="n"/>
      <c r="C346" s="25" t="n"/>
      <c r="D346" s="25" t="n"/>
      <c r="E346" s="25" t="n"/>
      <c r="F346" s="25" t="n"/>
      <c r="G346" s="25" t="n"/>
      <c r="H346" s="25" t="n"/>
      <c r="I346" s="25" t="n"/>
      <c r="J346" s="25" t="n"/>
      <c r="K346" s="37" t="n"/>
      <c r="L346" s="37" t="n"/>
      <c r="M346" s="37" t="n"/>
      <c r="N346" s="10">
        <f>G346*2400+K346+L346+M346</f>
        <v/>
      </c>
      <c r="O346" s="10">
        <f>(K346+M346)/G346</f>
        <v/>
      </c>
      <c r="P346" s="10">
        <f>L346/G346</f>
        <v/>
      </c>
      <c r="Q346" s="10">
        <f>N346*D346/1000</f>
        <v/>
      </c>
      <c r="R346" s="11">
        <f>K346*D346/1000</f>
        <v/>
      </c>
      <c r="S346" s="11">
        <f>L346*D346/1000</f>
        <v/>
      </c>
    </row>
    <row r="347" ht="46.5" customHeight="1">
      <c r="A347" s="25" t="n"/>
      <c r="B347" s="25" t="n"/>
      <c r="C347" s="25" t="n"/>
      <c r="D347" s="25" t="n"/>
      <c r="E347" s="25" t="n"/>
      <c r="F347" s="25" t="n"/>
      <c r="G347" s="25" t="n"/>
      <c r="H347" s="25" t="n"/>
      <c r="I347" s="25" t="n"/>
      <c r="J347" s="25" t="n"/>
      <c r="K347" s="37" t="n"/>
      <c r="L347" s="37" t="n"/>
      <c r="M347" s="37" t="n"/>
      <c r="N347" s="10">
        <f>G347*2400+K347+L347+M347</f>
        <v/>
      </c>
      <c r="O347" s="10">
        <f>(K347+M347)/G347</f>
        <v/>
      </c>
      <c r="P347" s="10">
        <f>L347/G347</f>
        <v/>
      </c>
      <c r="Q347" s="10">
        <f>N347*D347/1000</f>
        <v/>
      </c>
      <c r="R347" s="11">
        <f>K347*D347/1000</f>
        <v/>
      </c>
      <c r="S347" s="11">
        <f>L347*D347/1000</f>
        <v/>
      </c>
    </row>
    <row r="348" ht="46.5" customHeight="1">
      <c r="A348" s="25" t="n"/>
      <c r="B348" s="25" t="n"/>
      <c r="C348" s="25" t="n"/>
      <c r="D348" s="25" t="n"/>
      <c r="E348" s="25" t="n"/>
      <c r="F348" s="25" t="n"/>
      <c r="G348" s="25" t="n"/>
      <c r="H348" s="25" t="n"/>
      <c r="I348" s="25" t="n"/>
      <c r="J348" s="25" t="n"/>
      <c r="K348" s="37" t="n"/>
      <c r="L348" s="37" t="n"/>
      <c r="M348" s="37" t="n"/>
      <c r="N348" s="10">
        <f>G348*2400+K348+L348+M348</f>
        <v/>
      </c>
      <c r="O348" s="10">
        <f>(K348+M348)/G348</f>
        <v/>
      </c>
      <c r="P348" s="10">
        <f>L348/G348</f>
        <v/>
      </c>
      <c r="Q348" s="10">
        <f>N348*D348/1000</f>
        <v/>
      </c>
      <c r="R348" s="11">
        <f>K348*D348/1000</f>
        <v/>
      </c>
      <c r="S348" s="11">
        <f>L348*D348/1000</f>
        <v/>
      </c>
    </row>
    <row r="349" ht="46.5" customHeight="1">
      <c r="A349" s="25" t="n"/>
      <c r="B349" s="25" t="n"/>
      <c r="C349" s="25" t="n"/>
      <c r="D349" s="25" t="n"/>
      <c r="E349" s="25" t="n"/>
      <c r="F349" s="25" t="n"/>
      <c r="G349" s="25" t="n"/>
      <c r="H349" s="25" t="n"/>
      <c r="I349" s="25" t="n"/>
      <c r="J349" s="25" t="n"/>
      <c r="K349" s="37" t="n"/>
      <c r="L349" s="37" t="n"/>
      <c r="M349" s="37" t="n"/>
      <c r="N349" s="10">
        <f>G349*2400+K349+L349+M349</f>
        <v/>
      </c>
      <c r="O349" s="10">
        <f>(K349+M349)/G349</f>
        <v/>
      </c>
      <c r="P349" s="10">
        <f>L349/G349</f>
        <v/>
      </c>
      <c r="Q349" s="10">
        <f>N349*D349/1000</f>
        <v/>
      </c>
      <c r="R349" s="11">
        <f>K349*D349/1000</f>
        <v/>
      </c>
      <c r="S349" s="11">
        <f>L349*D349/1000</f>
        <v/>
      </c>
    </row>
    <row r="350" ht="46.5" customHeight="1">
      <c r="A350" s="25" t="n"/>
      <c r="B350" s="25" t="n"/>
      <c r="C350" s="25" t="n"/>
      <c r="D350" s="25" t="n"/>
      <c r="E350" s="25" t="n"/>
      <c r="F350" s="25" t="n"/>
      <c r="G350" s="25" t="n"/>
      <c r="H350" s="25" t="n"/>
      <c r="I350" s="25" t="n"/>
      <c r="J350" s="25" t="n"/>
      <c r="K350" s="37" t="n"/>
      <c r="L350" s="37" t="n"/>
      <c r="M350" s="37" t="n"/>
      <c r="N350" s="10">
        <f>G350*2400+K350+L350+M350</f>
        <v/>
      </c>
      <c r="O350" s="10">
        <f>(K350+M350)/G350</f>
        <v/>
      </c>
      <c r="P350" s="10">
        <f>L350/G350</f>
        <v/>
      </c>
      <c r="Q350" s="10">
        <f>N350*D350/1000</f>
        <v/>
      </c>
      <c r="R350" s="11">
        <f>K350*D350/1000</f>
        <v/>
      </c>
      <c r="S350" s="11">
        <f>L350*D350/1000</f>
        <v/>
      </c>
    </row>
    <row r="351" ht="46.5" customHeight="1">
      <c r="A351" s="25" t="n"/>
      <c r="B351" s="25" t="n"/>
      <c r="C351" s="25" t="n"/>
      <c r="D351" s="25" t="n"/>
      <c r="E351" s="25" t="n"/>
      <c r="F351" s="25" t="n"/>
      <c r="G351" s="25" t="n"/>
      <c r="H351" s="25" t="n"/>
      <c r="I351" s="25" t="n"/>
      <c r="J351" s="25" t="n"/>
      <c r="K351" s="37" t="n"/>
      <c r="L351" s="37" t="n"/>
      <c r="M351" s="37" t="n"/>
      <c r="N351" s="10">
        <f>G351*2400+K351+L351+M351</f>
        <v/>
      </c>
      <c r="O351" s="10">
        <f>(K351+M351)/G351</f>
        <v/>
      </c>
      <c r="P351" s="10">
        <f>L351/G351</f>
        <v/>
      </c>
      <c r="Q351" s="10">
        <f>N351*D351/1000</f>
        <v/>
      </c>
      <c r="R351" s="11">
        <f>K351*D351/1000</f>
        <v/>
      </c>
      <c r="S351" s="11">
        <f>L351*D351/1000</f>
        <v/>
      </c>
    </row>
    <row r="352" ht="46.5" customHeight="1">
      <c r="A352" s="25" t="n"/>
      <c r="B352" s="25" t="n"/>
      <c r="C352" s="25" t="n"/>
      <c r="D352" s="25" t="n"/>
      <c r="E352" s="25" t="n"/>
      <c r="F352" s="25" t="n"/>
      <c r="G352" s="25" t="n"/>
      <c r="H352" s="25" t="n"/>
      <c r="I352" s="25" t="n"/>
      <c r="J352" s="25" t="n"/>
      <c r="K352" s="37" t="n"/>
      <c r="L352" s="37" t="n"/>
      <c r="M352" s="37" t="n"/>
      <c r="N352" s="10">
        <f>G352*2400+K352+L352+M352</f>
        <v/>
      </c>
      <c r="O352" s="10">
        <f>(K352+M352)/G352</f>
        <v/>
      </c>
      <c r="P352" s="10">
        <f>L352/G352</f>
        <v/>
      </c>
      <c r="Q352" s="10">
        <f>N352*D352/1000</f>
        <v/>
      </c>
      <c r="R352" s="11">
        <f>K352*D352/1000</f>
        <v/>
      </c>
      <c r="S352" s="11">
        <f>L352*D352/1000</f>
        <v/>
      </c>
    </row>
    <row r="353" ht="46.5" customHeight="1">
      <c r="A353" s="25" t="n"/>
      <c r="B353" s="25" t="n"/>
      <c r="C353" s="25" t="n"/>
      <c r="D353" s="25" t="n"/>
      <c r="E353" s="25" t="n"/>
      <c r="F353" s="25" t="n"/>
      <c r="G353" s="25" t="n"/>
      <c r="H353" s="25" t="n"/>
      <c r="I353" s="25" t="n"/>
      <c r="J353" s="25" t="n"/>
      <c r="K353" s="37" t="n"/>
      <c r="L353" s="37" t="n"/>
      <c r="M353" s="37" t="n"/>
      <c r="N353" s="10">
        <f>G353*2400+K353+L353+M353</f>
        <v/>
      </c>
      <c r="O353" s="10">
        <f>(K353+M353)/G353</f>
        <v/>
      </c>
      <c r="P353" s="10">
        <f>L353/G353</f>
        <v/>
      </c>
      <c r="Q353" s="10">
        <f>N353*D353/1000</f>
        <v/>
      </c>
      <c r="R353" s="11">
        <f>K353*D353/1000</f>
        <v/>
      </c>
      <c r="S353" s="11">
        <f>L353*D353/1000</f>
        <v/>
      </c>
    </row>
    <row r="354" ht="46.5" customHeight="1">
      <c r="A354" s="25" t="n"/>
      <c r="B354" s="25" t="n"/>
      <c r="C354" s="25" t="n"/>
      <c r="D354" s="25" t="n"/>
      <c r="E354" s="25" t="n"/>
      <c r="F354" s="25" t="n"/>
      <c r="G354" s="25" t="n"/>
      <c r="H354" s="25" t="n"/>
      <c r="I354" s="25" t="n"/>
      <c r="J354" s="25" t="n"/>
      <c r="K354" s="37" t="n"/>
      <c r="L354" s="37" t="n"/>
      <c r="M354" s="37" t="n"/>
      <c r="N354" s="10">
        <f>G354*2400+K354+L354+M354</f>
        <v/>
      </c>
      <c r="O354" s="10">
        <f>(K354+M354)/G354</f>
        <v/>
      </c>
      <c r="P354" s="10">
        <f>L354/G354</f>
        <v/>
      </c>
      <c r="Q354" s="10">
        <f>N354*D354/1000</f>
        <v/>
      </c>
      <c r="R354" s="11">
        <f>K354*D354/1000</f>
        <v/>
      </c>
      <c r="S354" s="11">
        <f>L354*D354/1000</f>
        <v/>
      </c>
    </row>
    <row r="355" ht="46.5" customHeight="1">
      <c r="A355" s="25" t="n"/>
      <c r="B355" s="25" t="n"/>
      <c r="C355" s="25" t="n"/>
      <c r="D355" s="25" t="n"/>
      <c r="E355" s="25" t="n"/>
      <c r="F355" s="25" t="n"/>
      <c r="G355" s="25" t="n"/>
      <c r="H355" s="25" t="n"/>
      <c r="I355" s="25" t="n"/>
      <c r="J355" s="25" t="n"/>
      <c r="K355" s="37" t="n"/>
      <c r="L355" s="37" t="n"/>
      <c r="M355" s="37" t="n"/>
      <c r="N355" s="10">
        <f>G355*2400+K355+L355+M355</f>
        <v/>
      </c>
      <c r="O355" s="10">
        <f>(K355+M355)/G355</f>
        <v/>
      </c>
      <c r="P355" s="10">
        <f>L355/G355</f>
        <v/>
      </c>
      <c r="Q355" s="10">
        <f>N355*D355/1000</f>
        <v/>
      </c>
      <c r="R355" s="11">
        <f>K355*D355/1000</f>
        <v/>
      </c>
      <c r="S355" s="11">
        <f>L355*D355/1000</f>
        <v/>
      </c>
    </row>
    <row r="356" ht="46.5" customHeight="1">
      <c r="A356" s="25" t="n"/>
      <c r="B356" s="25" t="n"/>
      <c r="C356" s="25" t="n"/>
      <c r="D356" s="25" t="n"/>
      <c r="E356" s="25" t="n"/>
      <c r="F356" s="25" t="n"/>
      <c r="G356" s="25" t="n"/>
      <c r="H356" s="25" t="n"/>
      <c r="I356" s="25" t="n"/>
      <c r="J356" s="25" t="n"/>
      <c r="K356" s="37" t="n"/>
      <c r="L356" s="37" t="n"/>
      <c r="M356" s="37" t="n"/>
      <c r="N356" s="10">
        <f>G356*2400+K356+L356+M356</f>
        <v/>
      </c>
      <c r="O356" s="10">
        <f>(K356+M356)/G356</f>
        <v/>
      </c>
      <c r="P356" s="10">
        <f>L356/G356</f>
        <v/>
      </c>
      <c r="Q356" s="10">
        <f>N356*D356/1000</f>
        <v/>
      </c>
      <c r="R356" s="11">
        <f>K356*D356/1000</f>
        <v/>
      </c>
      <c r="S356" s="11">
        <f>L356*D356/1000</f>
        <v/>
      </c>
    </row>
    <row r="357" ht="46.5" customHeight="1">
      <c r="A357" s="25" t="n"/>
      <c r="B357" s="25" t="n"/>
      <c r="C357" s="25" t="n"/>
      <c r="D357" s="25" t="n"/>
      <c r="E357" s="25" t="n"/>
      <c r="F357" s="25" t="n"/>
      <c r="G357" s="25" t="n"/>
      <c r="H357" s="25" t="n"/>
      <c r="I357" s="25" t="n"/>
      <c r="J357" s="25" t="n"/>
      <c r="K357" s="37" t="n"/>
      <c r="L357" s="37" t="n"/>
      <c r="M357" s="37" t="n"/>
      <c r="N357" s="10">
        <f>G357*2400+K357+L357+M357</f>
        <v/>
      </c>
      <c r="O357" s="10">
        <f>(K357+M357)/G357</f>
        <v/>
      </c>
      <c r="P357" s="10">
        <f>L357/G357</f>
        <v/>
      </c>
      <c r="Q357" s="10">
        <f>N357*D357/1000</f>
        <v/>
      </c>
      <c r="R357" s="11">
        <f>K357*D357/1000</f>
        <v/>
      </c>
      <c r="S357" s="11">
        <f>L357*D357/1000</f>
        <v/>
      </c>
    </row>
    <row r="358" ht="46.5" customHeight="1">
      <c r="A358" s="25" t="n"/>
      <c r="B358" s="25" t="n"/>
      <c r="C358" s="25" t="n"/>
      <c r="D358" s="25" t="n"/>
      <c r="E358" s="25" t="n"/>
      <c r="F358" s="25" t="n"/>
      <c r="G358" s="25" t="n"/>
      <c r="H358" s="25" t="n"/>
      <c r="I358" s="25" t="n"/>
      <c r="J358" s="25" t="n"/>
      <c r="K358" s="37" t="n"/>
      <c r="L358" s="37" t="n"/>
      <c r="M358" s="37" t="n"/>
      <c r="N358" s="10">
        <f>G358*2400+K358+L358+M358</f>
        <v/>
      </c>
      <c r="O358" s="10">
        <f>(K358+M358)/G358</f>
        <v/>
      </c>
      <c r="P358" s="10">
        <f>L358/G358</f>
        <v/>
      </c>
      <c r="Q358" s="10">
        <f>N358*D358/1000</f>
        <v/>
      </c>
      <c r="R358" s="11">
        <f>K358*D358/1000</f>
        <v/>
      </c>
      <c r="S358" s="11">
        <f>L358*D358/1000</f>
        <v/>
      </c>
    </row>
    <row r="359" ht="46.5" customHeight="1">
      <c r="A359" s="25" t="n"/>
      <c r="B359" s="25" t="n"/>
      <c r="C359" s="25" t="n"/>
      <c r="D359" s="25" t="n"/>
      <c r="E359" s="25" t="n"/>
      <c r="F359" s="25" t="n"/>
      <c r="G359" s="25" t="n"/>
      <c r="H359" s="25" t="n"/>
      <c r="I359" s="25" t="n"/>
      <c r="J359" s="25" t="n"/>
      <c r="K359" s="37" t="n"/>
      <c r="L359" s="37" t="n"/>
      <c r="M359" s="37" t="n"/>
      <c r="N359" s="10">
        <f>G359*2400+K359+L359+M359</f>
        <v/>
      </c>
      <c r="O359" s="10">
        <f>(K359+M359)/G359</f>
        <v/>
      </c>
      <c r="P359" s="10">
        <f>L359/G359</f>
        <v/>
      </c>
      <c r="Q359" s="10">
        <f>N359*D359/1000</f>
        <v/>
      </c>
      <c r="R359" s="11">
        <f>K359*D359/1000</f>
        <v/>
      </c>
      <c r="S359" s="11">
        <f>L359*D359/1000</f>
        <v/>
      </c>
    </row>
    <row r="360" ht="46.5" customHeight="1">
      <c r="A360" s="25" t="n"/>
      <c r="B360" s="25" t="n"/>
      <c r="C360" s="25" t="n"/>
      <c r="D360" s="25" t="n"/>
      <c r="E360" s="25" t="n"/>
      <c r="F360" s="25" t="n"/>
      <c r="G360" s="25" t="n"/>
      <c r="H360" s="25" t="n"/>
      <c r="I360" s="25" t="n"/>
      <c r="J360" s="25" t="n"/>
      <c r="K360" s="37" t="n"/>
      <c r="L360" s="37" t="n"/>
      <c r="M360" s="37" t="n"/>
      <c r="N360" s="10">
        <f>G360*2400+K360+L360+M360</f>
        <v/>
      </c>
      <c r="O360" s="10">
        <f>(K360+M360)/G360</f>
        <v/>
      </c>
      <c r="P360" s="10">
        <f>L360/G360</f>
        <v/>
      </c>
      <c r="Q360" s="10">
        <f>N360*D360/1000</f>
        <v/>
      </c>
      <c r="R360" s="11">
        <f>K360*D360/1000</f>
        <v/>
      </c>
      <c r="S360" s="11">
        <f>L360*D360/1000</f>
        <v/>
      </c>
    </row>
    <row r="361" ht="46.5" customHeight="1">
      <c r="A361" s="25" t="n"/>
      <c r="B361" s="25" t="n"/>
      <c r="C361" s="25" t="n"/>
      <c r="D361" s="25" t="n"/>
      <c r="E361" s="25" t="n"/>
      <c r="F361" s="25" t="n"/>
      <c r="G361" s="25" t="n"/>
      <c r="H361" s="25" t="n"/>
      <c r="I361" s="25" t="n"/>
      <c r="J361" s="25" t="n"/>
      <c r="K361" s="37" t="n"/>
      <c r="L361" s="37" t="n"/>
      <c r="M361" s="37" t="n"/>
      <c r="N361" s="10">
        <f>G361*2400+K361+L361+M361</f>
        <v/>
      </c>
      <c r="O361" s="10">
        <f>(K361+M361)/G361</f>
        <v/>
      </c>
      <c r="P361" s="10">
        <f>L361/G361</f>
        <v/>
      </c>
      <c r="Q361" s="10">
        <f>N361*D361/1000</f>
        <v/>
      </c>
      <c r="R361" s="11">
        <f>K361*D361/1000</f>
        <v/>
      </c>
      <c r="S361" s="11">
        <f>L361*D361/1000</f>
        <v/>
      </c>
    </row>
    <row r="362" ht="46.5" customHeight="1">
      <c r="A362" s="25" t="n"/>
      <c r="B362" s="25" t="n"/>
      <c r="C362" s="25" t="n"/>
      <c r="D362" s="25" t="n"/>
      <c r="E362" s="25" t="n"/>
      <c r="F362" s="25" t="n"/>
      <c r="G362" s="25" t="n"/>
      <c r="H362" s="25" t="n"/>
      <c r="I362" s="25" t="n"/>
      <c r="J362" s="25" t="n"/>
      <c r="K362" s="37" t="n"/>
      <c r="L362" s="37" t="n"/>
      <c r="M362" s="37" t="n"/>
      <c r="N362" s="10">
        <f>G362*2400+K362+L362+M362</f>
        <v/>
      </c>
      <c r="O362" s="10">
        <f>(K362+M362)/G362</f>
        <v/>
      </c>
      <c r="P362" s="10">
        <f>L362/G362</f>
        <v/>
      </c>
      <c r="Q362" s="10">
        <f>N362*D362/1000</f>
        <v/>
      </c>
      <c r="R362" s="11">
        <f>K362*D362/1000</f>
        <v/>
      </c>
      <c r="S362" s="11">
        <f>L362*D362/1000</f>
        <v/>
      </c>
    </row>
    <row r="363" ht="46.5" customHeight="1">
      <c r="A363" s="25" t="n"/>
      <c r="B363" s="25" t="n"/>
      <c r="C363" s="25" t="n"/>
      <c r="D363" s="25" t="n"/>
      <c r="E363" s="25" t="n"/>
      <c r="F363" s="25" t="n"/>
      <c r="G363" s="25" t="n"/>
      <c r="H363" s="25" t="n"/>
      <c r="I363" s="25" t="n"/>
      <c r="J363" s="25" t="n"/>
      <c r="K363" s="37" t="n"/>
      <c r="L363" s="37" t="n"/>
      <c r="M363" s="37" t="n"/>
      <c r="N363" s="10">
        <f>G363*2400+K363+L363+M363</f>
        <v/>
      </c>
      <c r="O363" s="10">
        <f>(K363+M363)/G363</f>
        <v/>
      </c>
      <c r="P363" s="10">
        <f>L363/G363</f>
        <v/>
      </c>
      <c r="Q363" s="10">
        <f>N363*D363/1000</f>
        <v/>
      </c>
      <c r="R363" s="11">
        <f>K363*D363/1000</f>
        <v/>
      </c>
      <c r="S363" s="11">
        <f>L363*D363/1000</f>
        <v/>
      </c>
    </row>
    <row r="364" ht="46.5" customHeight="1">
      <c r="A364" s="25" t="n"/>
      <c r="B364" s="25" t="n"/>
      <c r="C364" s="25" t="n"/>
      <c r="D364" s="25" t="n"/>
      <c r="E364" s="25" t="n"/>
      <c r="F364" s="25" t="n"/>
      <c r="G364" s="25" t="n"/>
      <c r="H364" s="25" t="n"/>
      <c r="I364" s="25" t="n"/>
      <c r="J364" s="25" t="n"/>
      <c r="K364" s="37" t="n"/>
      <c r="L364" s="37" t="n"/>
      <c r="M364" s="37" t="n"/>
      <c r="N364" s="10">
        <f>G364*2400+K364+L364+M364</f>
        <v/>
      </c>
      <c r="O364" s="10">
        <f>(K364+M364)/G364</f>
        <v/>
      </c>
      <c r="P364" s="10">
        <f>L364/G364</f>
        <v/>
      </c>
      <c r="Q364" s="10">
        <f>N364*D364/1000</f>
        <v/>
      </c>
      <c r="R364" s="11">
        <f>K364*D364/1000</f>
        <v/>
      </c>
      <c r="S364" s="11">
        <f>L364*D364/1000</f>
        <v/>
      </c>
    </row>
    <row r="365" ht="46.5" customHeight="1">
      <c r="A365" s="25" t="n"/>
      <c r="B365" s="25" t="n"/>
      <c r="C365" s="25" t="n"/>
      <c r="D365" s="25" t="n"/>
      <c r="E365" s="25" t="n"/>
      <c r="F365" s="25" t="n"/>
      <c r="G365" s="25" t="n"/>
      <c r="H365" s="25" t="n"/>
      <c r="I365" s="25" t="n"/>
      <c r="J365" s="25" t="n"/>
      <c r="K365" s="37" t="n"/>
      <c r="L365" s="37" t="n"/>
      <c r="M365" s="37" t="n"/>
      <c r="N365" s="10">
        <f>G365*2400+K365+L365+M365</f>
        <v/>
      </c>
      <c r="O365" s="10">
        <f>(K365+M365)/G365</f>
        <v/>
      </c>
      <c r="P365" s="10">
        <f>L365/G365</f>
        <v/>
      </c>
      <c r="Q365" s="10">
        <f>N365*D365/1000</f>
        <v/>
      </c>
      <c r="R365" s="11">
        <f>K365*D365/1000</f>
        <v/>
      </c>
      <c r="S365" s="11">
        <f>L365*D365/1000</f>
        <v/>
      </c>
    </row>
    <row r="366" ht="46.5" customHeight="1">
      <c r="A366" s="25" t="n"/>
      <c r="B366" s="25" t="n"/>
      <c r="C366" s="25" t="n"/>
      <c r="D366" s="25" t="n"/>
      <c r="E366" s="25" t="n"/>
      <c r="F366" s="25" t="n"/>
      <c r="G366" s="25" t="n"/>
      <c r="H366" s="25" t="n"/>
      <c r="I366" s="25" t="n"/>
      <c r="J366" s="25" t="n"/>
      <c r="K366" s="37" t="n"/>
      <c r="L366" s="37" t="n"/>
      <c r="M366" s="37" t="n"/>
      <c r="N366" s="10">
        <f>G366*2400+K366+L366+M366</f>
        <v/>
      </c>
      <c r="O366" s="10">
        <f>(K366+M366)/G366</f>
        <v/>
      </c>
      <c r="P366" s="10">
        <f>L366/G366</f>
        <v/>
      </c>
      <c r="Q366" s="10">
        <f>N366*D366/1000</f>
        <v/>
      </c>
      <c r="R366" s="11">
        <f>K366*D366/1000</f>
        <v/>
      </c>
      <c r="S366" s="11">
        <f>L366*D366/1000</f>
        <v/>
      </c>
    </row>
    <row r="367" ht="46.5" customHeight="1">
      <c r="A367" s="25" t="n"/>
      <c r="B367" s="25" t="n"/>
      <c r="C367" s="25" t="n"/>
      <c r="D367" s="25" t="n"/>
      <c r="E367" s="25" t="n"/>
      <c r="F367" s="25" t="n"/>
      <c r="G367" s="25" t="n"/>
      <c r="H367" s="25" t="n"/>
      <c r="I367" s="25" t="n"/>
      <c r="J367" s="25" t="n"/>
      <c r="K367" s="37" t="n"/>
      <c r="L367" s="37" t="n"/>
      <c r="M367" s="37" t="n"/>
      <c r="N367" s="10">
        <f>G367*2400+K367+L367+M367</f>
        <v/>
      </c>
      <c r="O367" s="10">
        <f>(K367+M367)/G367</f>
        <v/>
      </c>
      <c r="P367" s="10">
        <f>L367/G367</f>
        <v/>
      </c>
      <c r="Q367" s="10">
        <f>N367*D367/1000</f>
        <v/>
      </c>
      <c r="R367" s="11">
        <f>K367*D367/1000</f>
        <v/>
      </c>
      <c r="S367" s="11">
        <f>L367*D367/1000</f>
        <v/>
      </c>
    </row>
    <row r="368" ht="46.5" customHeight="1">
      <c r="A368" s="25" t="n"/>
      <c r="B368" s="25" t="n"/>
      <c r="C368" s="25" t="n"/>
      <c r="D368" s="25" t="n"/>
      <c r="E368" s="25" t="n"/>
      <c r="F368" s="25" t="n"/>
      <c r="G368" s="25" t="n"/>
      <c r="H368" s="25" t="n"/>
      <c r="I368" s="25" t="n"/>
      <c r="J368" s="25" t="n"/>
      <c r="K368" s="37" t="n"/>
      <c r="L368" s="37" t="n"/>
      <c r="M368" s="37" t="n"/>
      <c r="N368" s="10">
        <f>G368*2400+K368+L368+M368</f>
        <v/>
      </c>
      <c r="O368" s="10">
        <f>(K368+M368)/G368</f>
        <v/>
      </c>
      <c r="P368" s="10">
        <f>L368/G368</f>
        <v/>
      </c>
      <c r="Q368" s="10">
        <f>N368*D368/1000</f>
        <v/>
      </c>
      <c r="R368" s="11">
        <f>K368*D368/1000</f>
        <v/>
      </c>
      <c r="S368" s="11">
        <f>L368*D368/1000</f>
        <v/>
      </c>
    </row>
    <row r="369" ht="46.5" customHeight="1">
      <c r="A369" s="25" t="n"/>
      <c r="B369" s="25" t="n"/>
      <c r="C369" s="25" t="n"/>
      <c r="D369" s="25" t="n"/>
      <c r="E369" s="25" t="n"/>
      <c r="F369" s="25" t="n"/>
      <c r="G369" s="25" t="n"/>
      <c r="H369" s="25" t="n"/>
      <c r="I369" s="25" t="n"/>
      <c r="J369" s="25" t="n"/>
      <c r="K369" s="37" t="n"/>
      <c r="L369" s="37" t="n"/>
      <c r="M369" s="37" t="n"/>
      <c r="N369" s="10">
        <f>G369*2400+K369+L369+M369</f>
        <v/>
      </c>
      <c r="O369" s="10">
        <f>(K369+M369)/G369</f>
        <v/>
      </c>
      <c r="P369" s="10">
        <f>L369/G369</f>
        <v/>
      </c>
      <c r="Q369" s="10">
        <f>N369*D369/1000</f>
        <v/>
      </c>
      <c r="R369" s="11">
        <f>K369*D369/1000</f>
        <v/>
      </c>
      <c r="S369" s="11">
        <f>L369*D369/1000</f>
        <v/>
      </c>
    </row>
    <row r="370" ht="46.5" customHeight="1">
      <c r="A370" s="25" t="n"/>
      <c r="B370" s="25" t="n"/>
      <c r="C370" s="25" t="n"/>
      <c r="D370" s="25" t="n"/>
      <c r="E370" s="25" t="n"/>
      <c r="F370" s="25" t="n"/>
      <c r="G370" s="25" t="n"/>
      <c r="H370" s="25" t="n"/>
      <c r="I370" s="25" t="n"/>
      <c r="J370" s="25" t="n"/>
      <c r="K370" s="37" t="n"/>
      <c r="L370" s="37" t="n"/>
      <c r="M370" s="37" t="n"/>
      <c r="N370" s="10">
        <f>G370*2400+K370+L370+M370</f>
        <v/>
      </c>
      <c r="O370" s="10">
        <f>(K370+M370)/G370</f>
        <v/>
      </c>
      <c r="P370" s="10">
        <f>L370/G370</f>
        <v/>
      </c>
      <c r="Q370" s="10">
        <f>N370*D370/1000</f>
        <v/>
      </c>
      <c r="R370" s="11">
        <f>K370*D370/1000</f>
        <v/>
      </c>
      <c r="S370" s="11">
        <f>L370*D370/1000</f>
        <v/>
      </c>
    </row>
    <row r="371" ht="46.5" customHeight="1">
      <c r="A371" s="25" t="n"/>
      <c r="B371" s="25" t="n"/>
      <c r="C371" s="25" t="n"/>
      <c r="D371" s="25" t="n"/>
      <c r="E371" s="25" t="n"/>
      <c r="F371" s="25" t="n"/>
      <c r="G371" s="25" t="n"/>
      <c r="H371" s="25" t="n"/>
      <c r="I371" s="25" t="n"/>
      <c r="J371" s="25" t="n"/>
      <c r="K371" s="37" t="n"/>
      <c r="L371" s="37" t="n"/>
      <c r="M371" s="37" t="n"/>
      <c r="N371" s="10">
        <f>G371*2400+K371+L371+M371</f>
        <v/>
      </c>
      <c r="O371" s="10">
        <f>(K371+M371)/G371</f>
        <v/>
      </c>
      <c r="P371" s="10">
        <f>L371/G371</f>
        <v/>
      </c>
      <c r="Q371" s="10">
        <f>N371*D371/1000</f>
        <v/>
      </c>
      <c r="R371" s="11">
        <f>K371*D371/1000</f>
        <v/>
      </c>
      <c r="S371" s="11">
        <f>L371*D371/1000</f>
        <v/>
      </c>
    </row>
    <row r="372" ht="46.5" customHeight="1">
      <c r="A372" s="25" t="n"/>
      <c r="B372" s="25" t="n"/>
      <c r="C372" s="25" t="n"/>
      <c r="D372" s="25" t="n"/>
      <c r="E372" s="25" t="n"/>
      <c r="F372" s="25" t="n"/>
      <c r="G372" s="25" t="n"/>
      <c r="H372" s="25" t="n"/>
      <c r="I372" s="25" t="n"/>
      <c r="J372" s="25" t="n"/>
      <c r="K372" s="37" t="n"/>
      <c r="L372" s="37" t="n"/>
      <c r="M372" s="37" t="n"/>
      <c r="N372" s="10">
        <f>G372*2400+K372+L372+M372</f>
        <v/>
      </c>
      <c r="O372" s="10">
        <f>(K372+M372)/G372</f>
        <v/>
      </c>
      <c r="P372" s="10">
        <f>L372/G372</f>
        <v/>
      </c>
      <c r="Q372" s="10">
        <f>N372*D372/1000</f>
        <v/>
      </c>
      <c r="R372" s="11">
        <f>K372*D372/1000</f>
        <v/>
      </c>
      <c r="S372" s="11">
        <f>L372*D372/1000</f>
        <v/>
      </c>
    </row>
    <row r="373" ht="46.5" customHeight="1">
      <c r="A373" s="25" t="n"/>
      <c r="B373" s="25" t="n"/>
      <c r="C373" s="25" t="n"/>
      <c r="D373" s="25" t="n"/>
      <c r="E373" s="25" t="n"/>
      <c r="F373" s="25" t="n"/>
      <c r="G373" s="25" t="n"/>
      <c r="H373" s="25" t="n"/>
      <c r="I373" s="25" t="n"/>
      <c r="J373" s="25" t="n"/>
      <c r="K373" s="37" t="n"/>
      <c r="L373" s="37" t="n"/>
      <c r="M373" s="37" t="n"/>
      <c r="N373" s="10">
        <f>G373*2400+K373+L373+M373</f>
        <v/>
      </c>
      <c r="O373" s="10">
        <f>(K373+M373)/G373</f>
        <v/>
      </c>
      <c r="P373" s="10">
        <f>L373/G373</f>
        <v/>
      </c>
      <c r="Q373" s="10">
        <f>N373*D373/1000</f>
        <v/>
      </c>
      <c r="R373" s="11">
        <f>K373*D373/1000</f>
        <v/>
      </c>
      <c r="S373" s="11">
        <f>L373*D373/1000</f>
        <v/>
      </c>
    </row>
    <row r="374" ht="46.5" customHeight="1">
      <c r="A374" s="25" t="n"/>
      <c r="B374" s="25" t="n"/>
      <c r="C374" s="25" t="n"/>
      <c r="D374" s="25" t="n"/>
      <c r="E374" s="25" t="n"/>
      <c r="F374" s="25" t="n"/>
      <c r="G374" s="25" t="n"/>
      <c r="H374" s="25" t="n"/>
      <c r="I374" s="25" t="n"/>
      <c r="J374" s="25" t="n"/>
      <c r="K374" s="37" t="n"/>
      <c r="L374" s="37" t="n"/>
      <c r="M374" s="37" t="n"/>
      <c r="N374" s="10">
        <f>G374*2400+K374+L374+M374</f>
        <v/>
      </c>
      <c r="O374" s="10">
        <f>(K374+M374)/G374</f>
        <v/>
      </c>
      <c r="P374" s="10">
        <f>L374/G374</f>
        <v/>
      </c>
      <c r="Q374" s="10">
        <f>N374*D374/1000</f>
        <v/>
      </c>
      <c r="R374" s="11">
        <f>K374*D374/1000</f>
        <v/>
      </c>
      <c r="S374" s="11">
        <f>L374*D374/1000</f>
        <v/>
      </c>
    </row>
    <row r="375" ht="46.5" customHeight="1">
      <c r="A375" s="25" t="n"/>
      <c r="B375" s="25" t="n"/>
      <c r="C375" s="25" t="n"/>
      <c r="D375" s="25" t="n"/>
      <c r="E375" s="25" t="n"/>
      <c r="F375" s="25" t="n"/>
      <c r="G375" s="25" t="n"/>
      <c r="H375" s="25" t="n"/>
      <c r="I375" s="25" t="n"/>
      <c r="J375" s="25" t="n"/>
      <c r="K375" s="37" t="n"/>
      <c r="L375" s="37" t="n"/>
      <c r="M375" s="37" t="n"/>
      <c r="N375" s="10">
        <f>G375*2400+K375+L375+M375</f>
        <v/>
      </c>
      <c r="O375" s="10">
        <f>(K375+M375)/G375</f>
        <v/>
      </c>
      <c r="P375" s="10">
        <f>L375/G375</f>
        <v/>
      </c>
      <c r="Q375" s="10">
        <f>N375*D375/1000</f>
        <v/>
      </c>
      <c r="R375" s="11">
        <f>K375*D375/1000</f>
        <v/>
      </c>
      <c r="S375" s="11">
        <f>L375*D375/1000</f>
        <v/>
      </c>
    </row>
    <row r="376" ht="46.5" customHeight="1">
      <c r="A376" s="25" t="n"/>
      <c r="B376" s="25" t="n"/>
      <c r="C376" s="25" t="n"/>
      <c r="D376" s="25" t="n"/>
      <c r="E376" s="25" t="n"/>
      <c r="F376" s="25" t="n"/>
      <c r="G376" s="25" t="n"/>
      <c r="H376" s="25" t="n"/>
      <c r="I376" s="25" t="n"/>
      <c r="J376" s="25" t="n"/>
      <c r="K376" s="37" t="n"/>
      <c r="L376" s="37" t="n"/>
      <c r="M376" s="37" t="n"/>
      <c r="N376" s="10">
        <f>G376*2400+K376+L376+M376</f>
        <v/>
      </c>
      <c r="O376" s="10">
        <f>(K376+M376)/G376</f>
        <v/>
      </c>
      <c r="P376" s="10">
        <f>L376/G376</f>
        <v/>
      </c>
      <c r="Q376" s="10">
        <f>N376*D376/1000</f>
        <v/>
      </c>
      <c r="R376" s="11">
        <f>K376*D376/1000</f>
        <v/>
      </c>
      <c r="S376" s="11">
        <f>L376*D376/1000</f>
        <v/>
      </c>
    </row>
    <row r="377" ht="46.5" customHeight="1">
      <c r="A377" s="25" t="n"/>
      <c r="B377" s="25" t="n"/>
      <c r="C377" s="25" t="n"/>
      <c r="D377" s="25" t="n"/>
      <c r="E377" s="25" t="n"/>
      <c r="F377" s="25" t="n"/>
      <c r="G377" s="25" t="n"/>
      <c r="H377" s="25" t="n"/>
      <c r="I377" s="25" t="n"/>
      <c r="J377" s="25" t="n"/>
      <c r="K377" s="37" t="n"/>
      <c r="L377" s="37" t="n"/>
      <c r="M377" s="37" t="n"/>
      <c r="N377" s="10">
        <f>G377*2400+K377+L377+M377</f>
        <v/>
      </c>
      <c r="O377" s="10">
        <f>(K377+M377)/G377</f>
        <v/>
      </c>
      <c r="P377" s="10">
        <f>L377/G377</f>
        <v/>
      </c>
      <c r="Q377" s="10">
        <f>N377*D377/1000</f>
        <v/>
      </c>
      <c r="R377" s="11">
        <f>K377*D377/1000</f>
        <v/>
      </c>
      <c r="S377" s="11">
        <f>L377*D377/1000</f>
        <v/>
      </c>
    </row>
    <row r="378" ht="46.5" customHeight="1">
      <c r="A378" s="25" t="n"/>
      <c r="B378" s="25" t="n"/>
      <c r="C378" s="25" t="n"/>
      <c r="D378" s="25" t="n"/>
      <c r="E378" s="25" t="n"/>
      <c r="F378" s="25" t="n"/>
      <c r="G378" s="25" t="n"/>
      <c r="H378" s="25" t="n"/>
      <c r="I378" s="25" t="n"/>
      <c r="J378" s="25" t="n"/>
      <c r="K378" s="37" t="n"/>
      <c r="L378" s="37" t="n"/>
      <c r="M378" s="37" t="n"/>
      <c r="N378" s="10">
        <f>G378*2400+K378+L378+M378</f>
        <v/>
      </c>
      <c r="O378" s="10">
        <f>(K378+M378)/G378</f>
        <v/>
      </c>
      <c r="P378" s="10">
        <f>L378/G378</f>
        <v/>
      </c>
      <c r="Q378" s="10">
        <f>N378*D378/1000</f>
        <v/>
      </c>
      <c r="R378" s="11">
        <f>K378*D378/1000</f>
        <v/>
      </c>
      <c r="S378" s="11">
        <f>L378*D378/1000</f>
        <v/>
      </c>
    </row>
    <row r="379" ht="46.5" customHeight="1">
      <c r="A379" s="25" t="n"/>
      <c r="B379" s="25" t="n"/>
      <c r="C379" s="25" t="n"/>
      <c r="D379" s="25" t="n"/>
      <c r="E379" s="25" t="n"/>
      <c r="F379" s="25" t="n"/>
      <c r="G379" s="25" t="n"/>
      <c r="H379" s="25" t="n"/>
      <c r="I379" s="25" t="n"/>
      <c r="J379" s="25" t="n"/>
      <c r="K379" s="37" t="n"/>
      <c r="L379" s="37" t="n"/>
      <c r="M379" s="37" t="n"/>
      <c r="N379" s="10">
        <f>G379*2400+K379+L379+M379</f>
        <v/>
      </c>
      <c r="O379" s="10">
        <f>(K379+M379)/G379</f>
        <v/>
      </c>
      <c r="P379" s="10">
        <f>L379/G379</f>
        <v/>
      </c>
      <c r="Q379" s="10">
        <f>N379*D379/1000</f>
        <v/>
      </c>
      <c r="R379" s="11">
        <f>K379*D379/1000</f>
        <v/>
      </c>
      <c r="S379" s="11">
        <f>L379*D379/1000</f>
        <v/>
      </c>
    </row>
    <row r="380" ht="46.5" customHeight="1">
      <c r="A380" s="25" t="n"/>
      <c r="B380" s="25" t="n"/>
      <c r="C380" s="25" t="n"/>
      <c r="D380" s="25" t="n"/>
      <c r="E380" s="25" t="n"/>
      <c r="F380" s="25" t="n"/>
      <c r="G380" s="25" t="n"/>
      <c r="H380" s="25" t="n"/>
      <c r="I380" s="25" t="n"/>
      <c r="J380" s="25" t="n"/>
      <c r="K380" s="37" t="n"/>
      <c r="L380" s="37" t="n"/>
      <c r="M380" s="37" t="n"/>
      <c r="N380" s="10">
        <f>G380*2400+K380+L380+M380</f>
        <v/>
      </c>
      <c r="O380" s="10">
        <f>(K380+M380)/G380</f>
        <v/>
      </c>
      <c r="P380" s="10">
        <f>L380/G380</f>
        <v/>
      </c>
      <c r="Q380" s="10">
        <f>N380*D380/1000</f>
        <v/>
      </c>
      <c r="R380" s="11">
        <f>K380*D380/1000</f>
        <v/>
      </c>
      <c r="S380" s="11">
        <f>L380*D380/1000</f>
        <v/>
      </c>
    </row>
    <row r="381" ht="46.5" customHeight="1">
      <c r="A381" s="25" t="n"/>
      <c r="B381" s="25" t="n"/>
      <c r="C381" s="25" t="n"/>
      <c r="D381" s="25" t="n"/>
      <c r="E381" s="25" t="n"/>
      <c r="F381" s="25" t="n"/>
      <c r="G381" s="25" t="n"/>
      <c r="H381" s="25" t="n"/>
      <c r="I381" s="25" t="n"/>
      <c r="J381" s="25" t="n"/>
      <c r="K381" s="37" t="n"/>
      <c r="L381" s="37" t="n"/>
      <c r="M381" s="37" t="n"/>
      <c r="N381" s="10">
        <f>G381*2400+K381+L381+M381</f>
        <v/>
      </c>
      <c r="O381" s="10">
        <f>(K381+M381)/G381</f>
        <v/>
      </c>
      <c r="P381" s="10">
        <f>L381/G381</f>
        <v/>
      </c>
      <c r="Q381" s="10">
        <f>N381*D381/1000</f>
        <v/>
      </c>
      <c r="R381" s="11">
        <f>K381*D381/1000</f>
        <v/>
      </c>
      <c r="S381" s="11">
        <f>L381*D381/1000</f>
        <v/>
      </c>
    </row>
    <row r="382" ht="46.5" customHeight="1">
      <c r="A382" s="25" t="n"/>
      <c r="B382" s="25" t="n"/>
      <c r="C382" s="25" t="n"/>
      <c r="D382" s="25" t="n"/>
      <c r="E382" s="25" t="n"/>
      <c r="F382" s="25" t="n"/>
      <c r="G382" s="25" t="n"/>
      <c r="H382" s="25" t="n"/>
      <c r="I382" s="25" t="n"/>
      <c r="J382" s="25" t="n"/>
      <c r="K382" s="37" t="n"/>
      <c r="L382" s="37" t="n"/>
      <c r="M382" s="37" t="n"/>
      <c r="N382" s="10">
        <f>G382*2400+K382+L382+M382</f>
        <v/>
      </c>
      <c r="O382" s="10">
        <f>(K382+M382)/G382</f>
        <v/>
      </c>
      <c r="P382" s="10">
        <f>L382/G382</f>
        <v/>
      </c>
      <c r="Q382" s="10">
        <f>N382*D382/1000</f>
        <v/>
      </c>
      <c r="R382" s="11">
        <f>K382*D382/1000</f>
        <v/>
      </c>
      <c r="S382" s="11">
        <f>L382*D382/1000</f>
        <v/>
      </c>
    </row>
    <row r="383" ht="46.5" customHeight="1">
      <c r="A383" s="25" t="n"/>
      <c r="B383" s="25" t="n"/>
      <c r="C383" s="25" t="n"/>
      <c r="D383" s="25" t="n"/>
      <c r="E383" s="25" t="n"/>
      <c r="F383" s="25" t="n"/>
      <c r="G383" s="25" t="n"/>
      <c r="H383" s="25" t="n"/>
      <c r="I383" s="25" t="n"/>
      <c r="J383" s="25" t="n"/>
      <c r="K383" s="37" t="n"/>
      <c r="L383" s="37" t="n"/>
      <c r="M383" s="37" t="n"/>
      <c r="N383" s="10">
        <f>G383*2400+K383+L383+M383</f>
        <v/>
      </c>
      <c r="O383" s="10">
        <f>(K383+M383)/G383</f>
        <v/>
      </c>
      <c r="P383" s="10">
        <f>L383/G383</f>
        <v/>
      </c>
      <c r="Q383" s="10">
        <f>N383*D383/1000</f>
        <v/>
      </c>
      <c r="R383" s="11">
        <f>K383*D383/1000</f>
        <v/>
      </c>
      <c r="S383" s="11">
        <f>L383*D383/1000</f>
        <v/>
      </c>
    </row>
    <row r="384" ht="46.5" customHeight="1">
      <c r="A384" s="25" t="n"/>
      <c r="B384" s="25" t="n"/>
      <c r="C384" s="25" t="n"/>
      <c r="D384" s="25" t="n"/>
      <c r="E384" s="25" t="n"/>
      <c r="F384" s="25" t="n"/>
      <c r="G384" s="25" t="n"/>
      <c r="H384" s="25" t="n"/>
      <c r="I384" s="25" t="n"/>
      <c r="J384" s="25" t="n"/>
      <c r="K384" s="37" t="n"/>
      <c r="L384" s="37" t="n"/>
      <c r="M384" s="37" t="n"/>
      <c r="N384" s="10">
        <f>G384*2400+K384+L384+M384</f>
        <v/>
      </c>
      <c r="O384" s="10">
        <f>(K384+M384)/G384</f>
        <v/>
      </c>
      <c r="P384" s="10">
        <f>L384/G384</f>
        <v/>
      </c>
      <c r="Q384" s="10">
        <f>N384*D384/1000</f>
        <v/>
      </c>
      <c r="R384" s="11">
        <f>K384*D384/1000</f>
        <v/>
      </c>
      <c r="S384" s="11">
        <f>L384*D384/1000</f>
        <v/>
      </c>
    </row>
    <row r="385" ht="46.5" customHeight="1">
      <c r="A385" s="25" t="n"/>
      <c r="B385" s="25" t="n"/>
      <c r="C385" s="25" t="n"/>
      <c r="D385" s="25" t="n"/>
      <c r="E385" s="25" t="n"/>
      <c r="F385" s="25" t="n"/>
      <c r="G385" s="25" t="n"/>
      <c r="H385" s="25" t="n"/>
      <c r="I385" s="25" t="n"/>
      <c r="J385" s="25" t="n"/>
      <c r="K385" s="37" t="n"/>
      <c r="L385" s="37" t="n"/>
      <c r="M385" s="37" t="n"/>
      <c r="N385" s="10">
        <f>G385*2400+K385+L385+M385</f>
        <v/>
      </c>
      <c r="O385" s="10">
        <f>(K385+M385)/G385</f>
        <v/>
      </c>
      <c r="P385" s="10">
        <f>L385/G385</f>
        <v/>
      </c>
      <c r="Q385" s="10">
        <f>N385*D385/1000</f>
        <v/>
      </c>
      <c r="R385" s="11">
        <f>K385*D385/1000</f>
        <v/>
      </c>
      <c r="S385" s="11">
        <f>L385*D385/1000</f>
        <v/>
      </c>
    </row>
    <row r="386" ht="46.5" customHeight="1">
      <c r="A386" s="25" t="n"/>
      <c r="B386" s="25" t="n"/>
      <c r="C386" s="25" t="n"/>
      <c r="D386" s="25" t="n"/>
      <c r="E386" s="25" t="n"/>
      <c r="F386" s="25" t="n"/>
      <c r="G386" s="25" t="n"/>
      <c r="H386" s="25" t="n"/>
      <c r="I386" s="25" t="n"/>
      <c r="J386" s="25" t="n"/>
      <c r="K386" s="37" t="n"/>
      <c r="L386" s="37" t="n"/>
      <c r="M386" s="37" t="n"/>
      <c r="N386" s="10">
        <f>G386*2400+K386+L386+M386</f>
        <v/>
      </c>
      <c r="O386" s="10">
        <f>(K386+M386)/G386</f>
        <v/>
      </c>
      <c r="P386" s="10">
        <f>L386/G386</f>
        <v/>
      </c>
      <c r="Q386" s="10">
        <f>N386*D386/1000</f>
        <v/>
      </c>
      <c r="R386" s="11">
        <f>K386*D386/1000</f>
        <v/>
      </c>
      <c r="S386" s="11">
        <f>L386*D386/1000</f>
        <v/>
      </c>
    </row>
    <row r="387" ht="46.5" customHeight="1">
      <c r="A387" s="25" t="n"/>
      <c r="B387" s="25" t="n"/>
      <c r="C387" s="25" t="n"/>
      <c r="D387" s="25" t="n"/>
      <c r="E387" s="25" t="n"/>
      <c r="F387" s="25" t="n"/>
      <c r="G387" s="25" t="n"/>
      <c r="H387" s="25" t="n"/>
      <c r="I387" s="25" t="n"/>
      <c r="J387" s="25" t="n"/>
      <c r="K387" s="37" t="n"/>
      <c r="L387" s="37" t="n"/>
      <c r="M387" s="37" t="n"/>
      <c r="N387" s="10">
        <f>G387*2400+K387+L387+M387</f>
        <v/>
      </c>
      <c r="O387" s="10">
        <f>(K387+M387)/G387</f>
        <v/>
      </c>
      <c r="P387" s="10">
        <f>L387/G387</f>
        <v/>
      </c>
      <c r="Q387" s="10">
        <f>N387*D387/1000</f>
        <v/>
      </c>
      <c r="R387" s="11">
        <f>K387*D387/1000</f>
        <v/>
      </c>
      <c r="S387" s="11">
        <f>L387*D387/1000</f>
        <v/>
      </c>
    </row>
    <row r="388" ht="46.5" customHeight="1">
      <c r="A388" s="25" t="n"/>
      <c r="B388" s="25" t="n"/>
      <c r="C388" s="25" t="n"/>
      <c r="D388" s="25" t="n"/>
      <c r="E388" s="25" t="n"/>
      <c r="F388" s="25" t="n"/>
      <c r="G388" s="25" t="n"/>
      <c r="H388" s="25" t="n"/>
      <c r="I388" s="25" t="n"/>
      <c r="J388" s="25" t="n"/>
      <c r="K388" s="37" t="n"/>
      <c r="L388" s="37" t="n"/>
      <c r="M388" s="37" t="n"/>
      <c r="N388" s="10">
        <f>G388*2400+K388+L388+M388</f>
        <v/>
      </c>
      <c r="O388" s="10">
        <f>(K388+M388)/G388</f>
        <v/>
      </c>
      <c r="P388" s="10">
        <f>L388/G388</f>
        <v/>
      </c>
      <c r="Q388" s="10">
        <f>N388*D388/1000</f>
        <v/>
      </c>
      <c r="R388" s="11">
        <f>K388*D388/1000</f>
        <v/>
      </c>
      <c r="S388" s="11">
        <f>L388*D388/1000</f>
        <v/>
      </c>
    </row>
    <row r="389" ht="46.5" customHeight="1">
      <c r="A389" s="25" t="n"/>
      <c r="B389" s="25" t="n"/>
      <c r="C389" s="25" t="n"/>
      <c r="D389" s="25" t="n"/>
      <c r="E389" s="25" t="n"/>
      <c r="F389" s="25" t="n"/>
      <c r="G389" s="25" t="n"/>
      <c r="H389" s="25" t="n"/>
      <c r="I389" s="25" t="n"/>
      <c r="J389" s="25" t="n"/>
      <c r="K389" s="37" t="n"/>
      <c r="L389" s="37" t="n"/>
      <c r="M389" s="37" t="n"/>
      <c r="N389" s="10">
        <f>G389*2400+K389+L389+M389</f>
        <v/>
      </c>
      <c r="O389" s="10">
        <f>(K389+M389)/G389</f>
        <v/>
      </c>
      <c r="P389" s="10">
        <f>L389/G389</f>
        <v/>
      </c>
      <c r="Q389" s="10">
        <f>N389*D389/1000</f>
        <v/>
      </c>
      <c r="R389" s="11">
        <f>K389*D389/1000</f>
        <v/>
      </c>
      <c r="S389" s="11">
        <f>L389*D389/1000</f>
        <v/>
      </c>
    </row>
    <row r="390" ht="46.5" customHeight="1">
      <c r="A390" s="25" t="n"/>
      <c r="B390" s="25" t="n"/>
      <c r="C390" s="25" t="n"/>
      <c r="D390" s="25" t="n"/>
      <c r="E390" s="25" t="n"/>
      <c r="F390" s="25" t="n"/>
      <c r="G390" s="25" t="n"/>
      <c r="H390" s="25" t="n"/>
      <c r="I390" s="25" t="n"/>
      <c r="J390" s="25" t="n"/>
      <c r="K390" s="37" t="n"/>
      <c r="L390" s="37" t="n"/>
      <c r="M390" s="37" t="n"/>
      <c r="N390" s="10">
        <f>G390*2400+K390+L390+M390</f>
        <v/>
      </c>
      <c r="O390" s="10">
        <f>(K390+M390)/G390</f>
        <v/>
      </c>
      <c r="P390" s="10">
        <f>L390/G390</f>
        <v/>
      </c>
      <c r="Q390" s="10">
        <f>N390*D390/1000</f>
        <v/>
      </c>
      <c r="R390" s="11">
        <f>K390*D390/1000</f>
        <v/>
      </c>
      <c r="S390" s="11">
        <f>L390*D390/1000</f>
        <v/>
      </c>
    </row>
    <row r="391" ht="46.5" customHeight="1">
      <c r="A391" s="25" t="n"/>
      <c r="B391" s="25" t="n"/>
      <c r="C391" s="25" t="n"/>
      <c r="D391" s="25" t="n"/>
      <c r="E391" s="25" t="n"/>
      <c r="F391" s="25" t="n"/>
      <c r="G391" s="25" t="n"/>
      <c r="H391" s="25" t="n"/>
      <c r="I391" s="25" t="n"/>
      <c r="J391" s="25" t="n"/>
      <c r="K391" s="37" t="n"/>
      <c r="L391" s="37" t="n"/>
      <c r="M391" s="37" t="n"/>
      <c r="N391" s="10">
        <f>G391*2400+K391+L391+M391</f>
        <v/>
      </c>
      <c r="O391" s="10">
        <f>(K391+M391)/G391</f>
        <v/>
      </c>
      <c r="P391" s="10">
        <f>L391/G391</f>
        <v/>
      </c>
      <c r="Q391" s="10">
        <f>N391*D391/1000</f>
        <v/>
      </c>
      <c r="R391" s="11">
        <f>K391*D391/1000</f>
        <v/>
      </c>
      <c r="S391" s="11">
        <f>L391*D391/1000</f>
        <v/>
      </c>
    </row>
    <row r="392" ht="46.5" customHeight="1">
      <c r="A392" s="25" t="n"/>
      <c r="B392" s="25" t="n"/>
      <c r="C392" s="25" t="n"/>
      <c r="D392" s="25" t="n"/>
      <c r="E392" s="25" t="n"/>
      <c r="F392" s="25" t="n"/>
      <c r="G392" s="25" t="n"/>
      <c r="H392" s="25" t="n"/>
      <c r="I392" s="25" t="n"/>
      <c r="J392" s="25" t="n"/>
      <c r="K392" s="37" t="n"/>
      <c r="L392" s="37" t="n"/>
      <c r="M392" s="37" t="n"/>
      <c r="N392" s="10">
        <f>G392*2400+K392+L392+M392</f>
        <v/>
      </c>
      <c r="O392" s="10">
        <f>(K392+M392)/G392</f>
        <v/>
      </c>
      <c r="P392" s="10">
        <f>L392/G392</f>
        <v/>
      </c>
      <c r="Q392" s="10">
        <f>N392*D392/1000</f>
        <v/>
      </c>
      <c r="R392" s="11">
        <f>K392*D392/1000</f>
        <v/>
      </c>
      <c r="S392" s="11">
        <f>L392*D392/1000</f>
        <v/>
      </c>
    </row>
    <row r="393" ht="46.5" customHeight="1">
      <c r="A393" s="25" t="n"/>
      <c r="B393" s="25" t="n"/>
      <c r="C393" s="25" t="n"/>
      <c r="D393" s="25" t="n"/>
      <c r="E393" s="25" t="n"/>
      <c r="F393" s="25" t="n"/>
      <c r="G393" s="25" t="n"/>
      <c r="H393" s="25" t="n"/>
      <c r="I393" s="25" t="n"/>
      <c r="J393" s="25" t="n"/>
      <c r="K393" s="37" t="n"/>
      <c r="L393" s="37" t="n"/>
      <c r="M393" s="37" t="n"/>
      <c r="N393" s="10">
        <f>G393*2400+K393+L393+M393</f>
        <v/>
      </c>
      <c r="O393" s="10">
        <f>(K393+M393)/G393</f>
        <v/>
      </c>
      <c r="P393" s="10">
        <f>L393/G393</f>
        <v/>
      </c>
      <c r="Q393" s="10">
        <f>N393*D393/1000</f>
        <v/>
      </c>
      <c r="R393" s="11">
        <f>K393*D393/1000</f>
        <v/>
      </c>
      <c r="S393" s="11">
        <f>L393*D393/1000</f>
        <v/>
      </c>
    </row>
    <row r="394" ht="46.5" customHeight="1">
      <c r="A394" s="25" t="n"/>
      <c r="B394" s="25" t="n"/>
      <c r="C394" s="25" t="n"/>
      <c r="D394" s="25" t="n"/>
      <c r="E394" s="25" t="n"/>
      <c r="F394" s="25" t="n"/>
      <c r="G394" s="25" t="n"/>
      <c r="H394" s="25" t="n"/>
      <c r="I394" s="25" t="n"/>
      <c r="J394" s="25" t="n"/>
      <c r="K394" s="37" t="n"/>
      <c r="L394" s="37" t="n"/>
      <c r="M394" s="37" t="n"/>
      <c r="N394" s="10">
        <f>G394*2400+K394+L394+M394</f>
        <v/>
      </c>
      <c r="O394" s="10">
        <f>(K394+M394)/G394</f>
        <v/>
      </c>
      <c r="P394" s="10">
        <f>L394/G394</f>
        <v/>
      </c>
      <c r="Q394" s="10">
        <f>N394*D394/1000</f>
        <v/>
      </c>
      <c r="R394" s="11">
        <f>K394*D394/1000</f>
        <v/>
      </c>
      <c r="S394" s="11">
        <f>L394*D394/1000</f>
        <v/>
      </c>
    </row>
    <row r="395" ht="46.5" customHeight="1">
      <c r="A395" s="25" t="n"/>
      <c r="B395" s="25" t="n"/>
      <c r="C395" s="25" t="n"/>
      <c r="D395" s="25" t="n"/>
      <c r="E395" s="25" t="n"/>
      <c r="F395" s="25" t="n"/>
      <c r="G395" s="25" t="n"/>
      <c r="H395" s="25" t="n"/>
      <c r="I395" s="25" t="n"/>
      <c r="J395" s="25" t="n"/>
      <c r="K395" s="37" t="n"/>
      <c r="L395" s="37" t="n"/>
      <c r="M395" s="37" t="n"/>
      <c r="N395" s="10">
        <f>G395*2400+K395+L395+M395</f>
        <v/>
      </c>
      <c r="O395" s="10">
        <f>(K395+M395)/G395</f>
        <v/>
      </c>
      <c r="P395" s="10">
        <f>L395/G395</f>
        <v/>
      </c>
      <c r="Q395" s="10">
        <f>N395*D395/1000</f>
        <v/>
      </c>
      <c r="R395" s="11">
        <f>K395*D395/1000</f>
        <v/>
      </c>
      <c r="S395" s="11">
        <f>L395*D395/1000</f>
        <v/>
      </c>
    </row>
    <row r="396" ht="46.5" customHeight="1">
      <c r="A396" s="25" t="n"/>
      <c r="B396" s="25" t="n"/>
      <c r="C396" s="25" t="n"/>
      <c r="D396" s="25" t="n"/>
      <c r="E396" s="25" t="n"/>
      <c r="F396" s="25" t="n"/>
      <c r="G396" s="25" t="n"/>
      <c r="H396" s="25" t="n"/>
      <c r="I396" s="25" t="n"/>
      <c r="J396" s="25" t="n"/>
      <c r="K396" s="37" t="n"/>
      <c r="L396" s="37" t="n"/>
      <c r="M396" s="37" t="n"/>
      <c r="N396" s="10">
        <f>G396*2400+K396+L396+M396</f>
        <v/>
      </c>
      <c r="O396" s="10">
        <f>(K396+M396)/G396</f>
        <v/>
      </c>
      <c r="P396" s="10">
        <f>L396/G396</f>
        <v/>
      </c>
      <c r="Q396" s="10">
        <f>N396*D396/1000</f>
        <v/>
      </c>
      <c r="R396" s="11">
        <f>K396*D396/1000</f>
        <v/>
      </c>
      <c r="S396" s="11">
        <f>L396*D396/1000</f>
        <v/>
      </c>
    </row>
    <row r="397" ht="46.5" customHeight="1">
      <c r="A397" s="25" t="n"/>
      <c r="B397" s="25" t="n"/>
      <c r="C397" s="25" t="n"/>
      <c r="D397" s="25" t="n"/>
      <c r="E397" s="25" t="n"/>
      <c r="F397" s="25" t="n"/>
      <c r="G397" s="25" t="n"/>
      <c r="H397" s="25" t="n"/>
      <c r="I397" s="25" t="n"/>
      <c r="J397" s="25" t="n"/>
      <c r="K397" s="37" t="n"/>
      <c r="L397" s="37" t="n"/>
      <c r="M397" s="37" t="n"/>
      <c r="N397" s="10">
        <f>G397*2400+K397+L397+M397</f>
        <v/>
      </c>
      <c r="O397" s="10">
        <f>(K397+M397)/G397</f>
        <v/>
      </c>
      <c r="P397" s="10">
        <f>L397/G397</f>
        <v/>
      </c>
      <c r="Q397" s="10">
        <f>N397*D397/1000</f>
        <v/>
      </c>
      <c r="R397" s="11">
        <f>K397*D397/1000</f>
        <v/>
      </c>
      <c r="S397" s="11">
        <f>L397*D397/1000</f>
        <v/>
      </c>
    </row>
    <row r="398" ht="46.5" customHeight="1">
      <c r="A398" s="25" t="n"/>
      <c r="B398" s="25" t="n"/>
      <c r="C398" s="25" t="n"/>
      <c r="D398" s="25" t="n"/>
      <c r="E398" s="25" t="n"/>
      <c r="F398" s="25" t="n"/>
      <c r="G398" s="25" t="n"/>
      <c r="H398" s="25" t="n"/>
      <c r="I398" s="25" t="n"/>
      <c r="J398" s="25" t="n"/>
      <c r="K398" s="37" t="n"/>
      <c r="L398" s="37" t="n"/>
      <c r="M398" s="37" t="n"/>
      <c r="N398" s="10">
        <f>G398*2400+K398+L398+M398</f>
        <v/>
      </c>
      <c r="O398" s="10">
        <f>(K398+M398)/G398</f>
        <v/>
      </c>
      <c r="P398" s="10">
        <f>L398/G398</f>
        <v/>
      </c>
      <c r="Q398" s="10">
        <f>N398*D398/1000</f>
        <v/>
      </c>
      <c r="R398" s="11">
        <f>K398*D398/1000</f>
        <v/>
      </c>
      <c r="S398" s="11">
        <f>L398*D398/1000</f>
        <v/>
      </c>
    </row>
    <row r="399" ht="46.5" customHeight="1">
      <c r="A399" s="25" t="n"/>
      <c r="B399" s="25" t="n"/>
      <c r="C399" s="25" t="n"/>
      <c r="D399" s="25" t="n"/>
      <c r="E399" s="25" t="n"/>
      <c r="F399" s="25" t="n"/>
      <c r="G399" s="25" t="n"/>
      <c r="H399" s="25" t="n"/>
      <c r="I399" s="25" t="n"/>
      <c r="J399" s="25" t="n"/>
      <c r="K399" s="37" t="n"/>
      <c r="L399" s="37" t="n"/>
      <c r="M399" s="37" t="n"/>
      <c r="N399" s="10">
        <f>G399*2400+K399+L399+M399</f>
        <v/>
      </c>
      <c r="O399" s="10">
        <f>(K399+M399)/G399</f>
        <v/>
      </c>
      <c r="P399" s="10">
        <f>L399/G399</f>
        <v/>
      </c>
      <c r="Q399" s="10">
        <f>N399*D399/1000</f>
        <v/>
      </c>
      <c r="R399" s="11">
        <f>K399*D399/1000</f>
        <v/>
      </c>
      <c r="S399" s="11">
        <f>L399*D399/1000</f>
        <v/>
      </c>
    </row>
    <row r="400" ht="46.5" customHeight="1">
      <c r="A400" s="25" t="n"/>
      <c r="B400" s="25" t="n"/>
      <c r="C400" s="25" t="n"/>
      <c r="D400" s="25" t="n"/>
      <c r="E400" s="25" t="n"/>
      <c r="F400" s="25" t="n"/>
      <c r="G400" s="25" t="n"/>
      <c r="H400" s="25" t="n"/>
      <c r="I400" s="25" t="n"/>
      <c r="J400" s="25" t="n"/>
      <c r="K400" s="37" t="n"/>
      <c r="L400" s="37" t="n"/>
      <c r="M400" s="37" t="n"/>
      <c r="N400" s="10">
        <f>G400*2400+K400+L400+M400</f>
        <v/>
      </c>
      <c r="O400" s="10">
        <f>(K400+M400)/G400</f>
        <v/>
      </c>
      <c r="P400" s="10">
        <f>L400/G400</f>
        <v/>
      </c>
      <c r="Q400" s="10">
        <f>N400*D400/1000</f>
        <v/>
      </c>
      <c r="R400" s="11">
        <f>K400*D400/1000</f>
        <v/>
      </c>
      <c r="S400" s="11">
        <f>L400*D400/1000</f>
        <v/>
      </c>
    </row>
    <row r="401" ht="46.5" customHeight="1">
      <c r="A401" s="25" t="n"/>
      <c r="B401" s="25" t="n"/>
      <c r="C401" s="25" t="n"/>
      <c r="D401" s="25" t="n"/>
      <c r="E401" s="25" t="n"/>
      <c r="F401" s="25" t="n"/>
      <c r="G401" s="25" t="n"/>
      <c r="H401" s="25" t="n"/>
      <c r="I401" s="25" t="n"/>
      <c r="J401" s="25" t="n"/>
      <c r="K401" s="37" t="n"/>
      <c r="L401" s="37" t="n"/>
      <c r="M401" s="37" t="n"/>
      <c r="N401" s="10">
        <f>G401*2400+K401+L401+M401</f>
        <v/>
      </c>
      <c r="O401" s="10">
        <f>(K401+M401)/G401</f>
        <v/>
      </c>
      <c r="P401" s="10">
        <f>L401/G401</f>
        <v/>
      </c>
      <c r="Q401" s="10">
        <f>N401*D401/1000</f>
        <v/>
      </c>
      <c r="R401" s="11">
        <f>K401*D401/1000</f>
        <v/>
      </c>
      <c r="S401" s="11">
        <f>L401*D401/1000</f>
        <v/>
      </c>
    </row>
    <row r="402" ht="46.5" customHeight="1">
      <c r="A402" s="25" t="n"/>
      <c r="B402" s="25" t="n"/>
      <c r="C402" s="25" t="n"/>
      <c r="D402" s="25" t="n"/>
      <c r="E402" s="25" t="n"/>
      <c r="F402" s="25" t="n"/>
      <c r="G402" s="25" t="n"/>
      <c r="H402" s="25" t="n"/>
      <c r="I402" s="25" t="n"/>
      <c r="J402" s="25" t="n"/>
      <c r="K402" s="37" t="n"/>
      <c r="L402" s="37" t="n"/>
      <c r="M402" s="37" t="n"/>
      <c r="N402" s="10">
        <f>G402*2400+K402+L402+M402</f>
        <v/>
      </c>
      <c r="O402" s="10">
        <f>(K402+M402)/G402</f>
        <v/>
      </c>
      <c r="P402" s="10">
        <f>L402/G402</f>
        <v/>
      </c>
      <c r="Q402" s="10">
        <f>N402*D402/1000</f>
        <v/>
      </c>
      <c r="R402" s="11">
        <f>K402*D402/1000</f>
        <v/>
      </c>
      <c r="S402" s="11">
        <f>L402*D402/1000</f>
        <v/>
      </c>
    </row>
    <row r="403" ht="46.5" customHeight="1">
      <c r="A403" s="25" t="n"/>
      <c r="B403" s="25" t="n"/>
      <c r="C403" s="25" t="n"/>
      <c r="D403" s="25" t="n"/>
      <c r="E403" s="25" t="n"/>
      <c r="F403" s="25" t="n"/>
      <c r="G403" s="25" t="n"/>
      <c r="H403" s="25" t="n"/>
      <c r="I403" s="25" t="n"/>
      <c r="J403" s="25" t="n"/>
      <c r="K403" s="37" t="n"/>
      <c r="L403" s="37" t="n"/>
      <c r="M403" s="37" t="n"/>
      <c r="N403" s="10">
        <f>G403*2400+K403+L403+M403</f>
        <v/>
      </c>
      <c r="O403" s="10">
        <f>(K403+M403)/G403</f>
        <v/>
      </c>
      <c r="P403" s="10">
        <f>L403/G403</f>
        <v/>
      </c>
      <c r="Q403" s="10">
        <f>N403*D403/1000</f>
        <v/>
      </c>
      <c r="R403" s="11">
        <f>K403*D403/1000</f>
        <v/>
      </c>
      <c r="S403" s="11">
        <f>L403*D403/1000</f>
        <v/>
      </c>
    </row>
    <row r="404" ht="46.5" customHeight="1">
      <c r="A404" s="25" t="n"/>
      <c r="B404" s="25" t="n"/>
      <c r="C404" s="25" t="n"/>
      <c r="D404" s="25" t="n"/>
      <c r="E404" s="25" t="n"/>
      <c r="F404" s="25" t="n"/>
      <c r="G404" s="25" t="n"/>
      <c r="H404" s="25" t="n"/>
      <c r="I404" s="25" t="n"/>
      <c r="J404" s="25" t="n"/>
      <c r="K404" s="37" t="n"/>
      <c r="L404" s="37" t="n"/>
      <c r="M404" s="37" t="n"/>
      <c r="N404" s="10">
        <f>G404*2400+K404+L404+M404</f>
        <v/>
      </c>
      <c r="O404" s="10">
        <f>(K404+M404)/G404</f>
        <v/>
      </c>
      <c r="P404" s="10">
        <f>L404/G404</f>
        <v/>
      </c>
      <c r="Q404" s="10">
        <f>N404*D404/1000</f>
        <v/>
      </c>
      <c r="R404" s="11">
        <f>K404*D404/1000</f>
        <v/>
      </c>
      <c r="S404" s="11">
        <f>L404*D404/1000</f>
        <v/>
      </c>
    </row>
    <row r="405" ht="46.5" customHeight="1">
      <c r="A405" s="25" t="n"/>
      <c r="B405" s="25" t="n"/>
      <c r="C405" s="25" t="n"/>
      <c r="D405" s="25" t="n"/>
      <c r="E405" s="25" t="n"/>
      <c r="F405" s="25" t="n"/>
      <c r="G405" s="25" t="n"/>
      <c r="H405" s="25" t="n"/>
      <c r="I405" s="25" t="n"/>
      <c r="J405" s="25" t="n"/>
      <c r="K405" s="37" t="n"/>
      <c r="L405" s="37" t="n"/>
      <c r="M405" s="37" t="n"/>
      <c r="N405" s="10">
        <f>G405*2400+K405+L405+M405</f>
        <v/>
      </c>
      <c r="O405" s="10">
        <f>(K405+M405)/G405</f>
        <v/>
      </c>
      <c r="P405" s="10">
        <f>L405/G405</f>
        <v/>
      </c>
      <c r="Q405" s="10">
        <f>N405*D405/1000</f>
        <v/>
      </c>
      <c r="R405" s="11">
        <f>K405*D405/1000</f>
        <v/>
      </c>
      <c r="S405" s="11">
        <f>L405*D405/1000</f>
        <v/>
      </c>
    </row>
    <row r="406" ht="46.5" customHeight="1">
      <c r="A406" s="25" t="n"/>
      <c r="B406" s="25" t="n"/>
      <c r="C406" s="25" t="n"/>
      <c r="D406" s="25" t="n"/>
      <c r="E406" s="25" t="n"/>
      <c r="F406" s="25" t="n"/>
      <c r="G406" s="25" t="n"/>
      <c r="H406" s="25" t="n"/>
      <c r="I406" s="25" t="n"/>
      <c r="J406" s="25" t="n"/>
      <c r="K406" s="37" t="n"/>
      <c r="L406" s="37" t="n"/>
      <c r="M406" s="37" t="n"/>
      <c r="N406" s="10">
        <f>G406*2400+K406+L406+M406</f>
        <v/>
      </c>
      <c r="O406" s="10">
        <f>(K406+M406)/G406</f>
        <v/>
      </c>
      <c r="P406" s="10">
        <f>L406/G406</f>
        <v/>
      </c>
      <c r="Q406" s="10">
        <f>N406*D406/1000</f>
        <v/>
      </c>
      <c r="R406" s="11">
        <f>K406*D406/1000</f>
        <v/>
      </c>
      <c r="S406" s="11">
        <f>L406*D406/1000</f>
        <v/>
      </c>
    </row>
    <row r="407" ht="46.5" customHeight="1">
      <c r="A407" s="25" t="n"/>
      <c r="B407" s="25" t="n"/>
      <c r="C407" s="25" t="n"/>
      <c r="D407" s="25" t="n"/>
      <c r="E407" s="25" t="n"/>
      <c r="F407" s="25" t="n"/>
      <c r="G407" s="25" t="n"/>
      <c r="H407" s="25" t="n"/>
      <c r="I407" s="25" t="n"/>
      <c r="J407" s="25" t="n"/>
      <c r="K407" s="37" t="n"/>
      <c r="L407" s="37" t="n"/>
      <c r="M407" s="37" t="n"/>
      <c r="N407" s="10">
        <f>G407*2400+K407+L407+M407</f>
        <v/>
      </c>
      <c r="O407" s="10">
        <f>(K407+M407)/G407</f>
        <v/>
      </c>
      <c r="P407" s="10">
        <f>L407/G407</f>
        <v/>
      </c>
      <c r="Q407" s="10">
        <f>N407*D407/1000</f>
        <v/>
      </c>
      <c r="R407" s="11">
        <f>K407*D407/1000</f>
        <v/>
      </c>
      <c r="S407" s="11">
        <f>L407*D407/1000</f>
        <v/>
      </c>
    </row>
    <row r="408" ht="46.5" customHeight="1">
      <c r="A408" s="25" t="n"/>
      <c r="B408" s="25" t="n"/>
      <c r="C408" s="25" t="n"/>
      <c r="D408" s="25" t="n"/>
      <c r="E408" s="25" t="n"/>
      <c r="F408" s="25" t="n"/>
      <c r="G408" s="25" t="n"/>
      <c r="H408" s="25" t="n"/>
      <c r="I408" s="25" t="n"/>
      <c r="J408" s="25" t="n"/>
      <c r="K408" s="37" t="n"/>
      <c r="L408" s="37" t="n"/>
      <c r="M408" s="37" t="n"/>
      <c r="N408" s="10">
        <f>G408*2400+K408+L408+M408</f>
        <v/>
      </c>
      <c r="O408" s="10">
        <f>(K408+M408)/G408</f>
        <v/>
      </c>
      <c r="P408" s="10">
        <f>L408/G408</f>
        <v/>
      </c>
      <c r="Q408" s="10">
        <f>N408*D408/1000</f>
        <v/>
      </c>
      <c r="R408" s="11">
        <f>K408*D408/1000</f>
        <v/>
      </c>
      <c r="S408" s="11">
        <f>L408*D408/1000</f>
        <v/>
      </c>
    </row>
    <row r="409" ht="46.5" customHeight="1">
      <c r="A409" s="25" t="n"/>
      <c r="B409" s="25" t="n"/>
      <c r="C409" s="25" t="n"/>
      <c r="D409" s="25" t="n"/>
      <c r="E409" s="25" t="n"/>
      <c r="F409" s="25" t="n"/>
      <c r="G409" s="25" t="n"/>
      <c r="H409" s="25" t="n"/>
      <c r="I409" s="25" t="n"/>
      <c r="J409" s="25" t="n"/>
      <c r="K409" s="37" t="n"/>
      <c r="L409" s="37" t="n"/>
      <c r="M409" s="37" t="n"/>
      <c r="N409" s="10">
        <f>G409*2400+K409+L409+M409</f>
        <v/>
      </c>
      <c r="O409" s="10">
        <f>(K409+M409)/G409</f>
        <v/>
      </c>
      <c r="P409" s="10">
        <f>L409/G409</f>
        <v/>
      </c>
      <c r="Q409" s="10">
        <f>N409*D409/1000</f>
        <v/>
      </c>
      <c r="R409" s="11">
        <f>K409*D409/1000</f>
        <v/>
      </c>
      <c r="S409" s="11">
        <f>L409*D409/1000</f>
        <v/>
      </c>
    </row>
    <row r="410" ht="46.5" customHeight="1">
      <c r="A410" s="25" t="n"/>
      <c r="B410" s="25" t="n"/>
      <c r="C410" s="25" t="n"/>
      <c r="D410" s="25" t="n"/>
      <c r="E410" s="25" t="n"/>
      <c r="F410" s="25" t="n"/>
      <c r="G410" s="25" t="n"/>
      <c r="H410" s="25" t="n"/>
      <c r="I410" s="25" t="n"/>
      <c r="J410" s="25" t="n"/>
      <c r="K410" s="37" t="n"/>
      <c r="L410" s="37" t="n"/>
      <c r="M410" s="37" t="n"/>
      <c r="N410" s="10">
        <f>G410*2400+K410+L410+M410</f>
        <v/>
      </c>
      <c r="O410" s="10">
        <f>(K410+M410)/G410</f>
        <v/>
      </c>
      <c r="P410" s="10">
        <f>L410/G410</f>
        <v/>
      </c>
      <c r="Q410" s="10">
        <f>N410*D410/1000</f>
        <v/>
      </c>
      <c r="R410" s="11">
        <f>K410*D410/1000</f>
        <v/>
      </c>
      <c r="S410" s="11">
        <f>L410*D410/1000</f>
        <v/>
      </c>
    </row>
    <row r="411" ht="46.5" customHeight="1">
      <c r="A411" s="25" t="n"/>
      <c r="B411" s="25" t="n"/>
      <c r="C411" s="25" t="n"/>
      <c r="D411" s="25" t="n"/>
      <c r="E411" s="25" t="n"/>
      <c r="F411" s="25" t="n"/>
      <c r="G411" s="25" t="n"/>
      <c r="H411" s="25" t="n"/>
      <c r="I411" s="25" t="n"/>
      <c r="J411" s="25" t="n"/>
      <c r="K411" s="37" t="n"/>
      <c r="L411" s="37" t="n"/>
      <c r="M411" s="37" t="n"/>
      <c r="N411" s="10">
        <f>G411*2400+K411+L411+M411</f>
        <v/>
      </c>
      <c r="O411" s="10">
        <f>(K411+M411)/G411</f>
        <v/>
      </c>
      <c r="P411" s="10">
        <f>L411/G411</f>
        <v/>
      </c>
      <c r="Q411" s="10">
        <f>N411*D411/1000</f>
        <v/>
      </c>
      <c r="R411" s="11">
        <f>K411*D411/1000</f>
        <v/>
      </c>
      <c r="S411" s="11">
        <f>L411*D411/1000</f>
        <v/>
      </c>
    </row>
    <row r="412" ht="46.5" customHeight="1">
      <c r="A412" s="25" t="n"/>
      <c r="B412" s="25" t="n"/>
      <c r="C412" s="25" t="n"/>
      <c r="D412" s="25" t="n"/>
      <c r="E412" s="25" t="n"/>
      <c r="F412" s="25" t="n"/>
      <c r="G412" s="25" t="n"/>
      <c r="H412" s="25" t="n"/>
      <c r="I412" s="25" t="n"/>
      <c r="J412" s="25" t="n"/>
      <c r="K412" s="37" t="n"/>
      <c r="L412" s="37" t="n"/>
      <c r="M412" s="37" t="n"/>
      <c r="N412" s="10">
        <f>G412*2400+K412+L412+M412</f>
        <v/>
      </c>
      <c r="O412" s="10">
        <f>(K412+M412)/G412</f>
        <v/>
      </c>
      <c r="P412" s="10">
        <f>L412/G412</f>
        <v/>
      </c>
      <c r="Q412" s="10">
        <f>N412*D412/1000</f>
        <v/>
      </c>
      <c r="R412" s="11">
        <f>K412*D412/1000</f>
        <v/>
      </c>
      <c r="S412" s="11">
        <f>L412*D412/1000</f>
        <v/>
      </c>
    </row>
    <row r="413" ht="46.5" customHeight="1">
      <c r="A413" s="25" t="n"/>
      <c r="B413" s="25" t="n"/>
      <c r="C413" s="25" t="n"/>
      <c r="D413" s="25" t="n"/>
      <c r="E413" s="25" t="n"/>
      <c r="F413" s="25" t="n"/>
      <c r="G413" s="25" t="n"/>
      <c r="H413" s="25" t="n"/>
      <c r="I413" s="25" t="n"/>
      <c r="J413" s="25" t="n"/>
      <c r="K413" s="37" t="n"/>
      <c r="L413" s="37" t="n"/>
      <c r="M413" s="37" t="n"/>
      <c r="N413" s="10">
        <f>G413*2400+K413+L413+M413</f>
        <v/>
      </c>
      <c r="O413" s="10">
        <f>(K413+M413)/G413</f>
        <v/>
      </c>
      <c r="P413" s="10">
        <f>L413/G413</f>
        <v/>
      </c>
      <c r="Q413" s="10">
        <f>N413*D413/1000</f>
        <v/>
      </c>
      <c r="R413" s="11">
        <f>K413*D413/1000</f>
        <v/>
      </c>
      <c r="S413" s="11">
        <f>L413*D413/1000</f>
        <v/>
      </c>
    </row>
    <row r="414" ht="46.5" customHeight="1">
      <c r="A414" s="25" t="n"/>
      <c r="B414" s="25" t="n"/>
      <c r="C414" s="25" t="n"/>
      <c r="D414" s="25" t="n"/>
      <c r="E414" s="25" t="n"/>
      <c r="F414" s="25" t="n"/>
      <c r="G414" s="25" t="n"/>
      <c r="H414" s="25" t="n"/>
      <c r="I414" s="25" t="n"/>
      <c r="J414" s="25" t="n"/>
      <c r="K414" s="37" t="n"/>
      <c r="L414" s="37" t="n"/>
      <c r="M414" s="37" t="n"/>
      <c r="N414" s="10">
        <f>G414*2400+K414+L414+M414</f>
        <v/>
      </c>
      <c r="O414" s="10">
        <f>(K414+M414)/G414</f>
        <v/>
      </c>
      <c r="P414" s="10">
        <f>L414/G414</f>
        <v/>
      </c>
      <c r="Q414" s="10">
        <f>N414*D414/1000</f>
        <v/>
      </c>
      <c r="R414" s="11">
        <f>K414*D414/1000</f>
        <v/>
      </c>
      <c r="S414" s="11">
        <f>L414*D414/1000</f>
        <v/>
      </c>
    </row>
    <row r="415" ht="46.5" customHeight="1">
      <c r="A415" s="25" t="n"/>
      <c r="B415" s="25" t="n"/>
      <c r="C415" s="25" t="n"/>
      <c r="D415" s="25" t="n"/>
      <c r="E415" s="25" t="n"/>
      <c r="F415" s="25" t="n"/>
      <c r="G415" s="25" t="n"/>
      <c r="H415" s="25" t="n"/>
      <c r="I415" s="25" t="n"/>
      <c r="J415" s="25" t="n"/>
      <c r="K415" s="37" t="n"/>
      <c r="L415" s="37" t="n"/>
      <c r="M415" s="37" t="n"/>
      <c r="N415" s="10">
        <f>G415*2400+K415+L415+M415</f>
        <v/>
      </c>
      <c r="O415" s="10">
        <f>(K415+M415)/G415</f>
        <v/>
      </c>
      <c r="P415" s="10">
        <f>L415/G415</f>
        <v/>
      </c>
      <c r="Q415" s="10">
        <f>N415*D415/1000</f>
        <v/>
      </c>
      <c r="R415" s="11">
        <f>K415*D415/1000</f>
        <v/>
      </c>
      <c r="S415" s="11">
        <f>L415*D415/1000</f>
        <v/>
      </c>
    </row>
    <row r="416" ht="46.5" customHeight="1">
      <c r="A416" s="25" t="n"/>
      <c r="B416" s="25" t="n"/>
      <c r="C416" s="25" t="n"/>
      <c r="D416" s="25" t="n"/>
      <c r="E416" s="25" t="n"/>
      <c r="F416" s="25" t="n"/>
      <c r="G416" s="25" t="n"/>
      <c r="H416" s="25" t="n"/>
      <c r="I416" s="25" t="n"/>
      <c r="J416" s="25" t="n"/>
      <c r="K416" s="37" t="n"/>
      <c r="L416" s="37" t="n"/>
      <c r="M416" s="37" t="n"/>
      <c r="N416" s="10">
        <f>G416*2400+K416+L416+M416</f>
        <v/>
      </c>
      <c r="O416" s="10">
        <f>(K416+M416)/G416</f>
        <v/>
      </c>
      <c r="P416" s="10">
        <f>L416/G416</f>
        <v/>
      </c>
      <c r="Q416" s="10">
        <f>N416*D416/1000</f>
        <v/>
      </c>
      <c r="R416" s="11">
        <f>K416*D416/1000</f>
        <v/>
      </c>
      <c r="S416" s="11">
        <f>L416*D416/1000</f>
        <v/>
      </c>
    </row>
    <row r="417" ht="46.5" customHeight="1">
      <c r="A417" s="25" t="n"/>
      <c r="B417" s="25" t="n"/>
      <c r="C417" s="25" t="n"/>
      <c r="D417" s="25" t="n"/>
      <c r="E417" s="25" t="n"/>
      <c r="F417" s="25" t="n"/>
      <c r="G417" s="25" t="n"/>
      <c r="H417" s="25" t="n"/>
      <c r="I417" s="25" t="n"/>
      <c r="J417" s="25" t="n"/>
      <c r="K417" s="37" t="n"/>
      <c r="L417" s="37" t="n"/>
      <c r="M417" s="37" t="n"/>
      <c r="N417" s="10">
        <f>G417*2400+K417+L417+M417</f>
        <v/>
      </c>
      <c r="O417" s="10">
        <f>(K417+M417)/G417</f>
        <v/>
      </c>
      <c r="P417" s="10">
        <f>L417/G417</f>
        <v/>
      </c>
      <c r="Q417" s="10">
        <f>N417*D417/1000</f>
        <v/>
      </c>
      <c r="R417" s="11">
        <f>K417*D417/1000</f>
        <v/>
      </c>
      <c r="S417" s="11">
        <f>L417*D417/1000</f>
        <v/>
      </c>
    </row>
    <row r="418" ht="46.5" customHeight="1">
      <c r="A418" s="25" t="n"/>
      <c r="B418" s="25" t="n"/>
      <c r="C418" s="25" t="n"/>
      <c r="D418" s="25" t="n"/>
      <c r="E418" s="25" t="n"/>
      <c r="F418" s="25" t="n"/>
      <c r="G418" s="25" t="n"/>
      <c r="H418" s="25" t="n"/>
      <c r="I418" s="25" t="n"/>
      <c r="J418" s="25" t="n"/>
      <c r="K418" s="37" t="n"/>
      <c r="L418" s="37" t="n"/>
      <c r="M418" s="37" t="n"/>
      <c r="N418" s="10">
        <f>G418*2400+K418+L418+M418</f>
        <v/>
      </c>
      <c r="O418" s="10">
        <f>(K418+M418)/G418</f>
        <v/>
      </c>
      <c r="P418" s="10">
        <f>L418/G418</f>
        <v/>
      </c>
      <c r="Q418" s="10">
        <f>N418*D418/1000</f>
        <v/>
      </c>
      <c r="R418" s="11">
        <f>K418*D418/1000</f>
        <v/>
      </c>
      <c r="S418" s="11">
        <f>L418*D418/1000</f>
        <v/>
      </c>
    </row>
    <row r="419" ht="46.5" customHeight="1">
      <c r="A419" s="25" t="n"/>
      <c r="B419" s="25" t="n"/>
      <c r="C419" s="25" t="n"/>
      <c r="D419" s="25" t="n"/>
      <c r="E419" s="25" t="n"/>
      <c r="F419" s="25" t="n"/>
      <c r="G419" s="25" t="n"/>
      <c r="H419" s="25" t="n"/>
      <c r="I419" s="25" t="n"/>
      <c r="J419" s="25" t="n"/>
      <c r="K419" s="37" t="n"/>
      <c r="L419" s="37" t="n"/>
      <c r="M419" s="37" t="n"/>
      <c r="N419" s="10">
        <f>G419*2400+K419+L419+M419</f>
        <v/>
      </c>
      <c r="O419" s="10">
        <f>(K419+M419)/G419</f>
        <v/>
      </c>
      <c r="P419" s="10">
        <f>L419/G419</f>
        <v/>
      </c>
      <c r="Q419" s="10">
        <f>N419*D419/1000</f>
        <v/>
      </c>
      <c r="R419" s="11">
        <f>K419*D419/1000</f>
        <v/>
      </c>
      <c r="S419" s="11">
        <f>L419*D419/1000</f>
        <v/>
      </c>
    </row>
    <row r="420" ht="46.5" customHeight="1">
      <c r="A420" s="25" t="n"/>
      <c r="B420" s="25" t="n"/>
      <c r="C420" s="25" t="n"/>
      <c r="D420" s="25" t="n"/>
      <c r="E420" s="25" t="n"/>
      <c r="F420" s="25" t="n"/>
      <c r="G420" s="25" t="n"/>
      <c r="H420" s="25" t="n"/>
      <c r="I420" s="25" t="n"/>
      <c r="J420" s="25" t="n"/>
      <c r="K420" s="37" t="n"/>
      <c r="L420" s="37" t="n"/>
      <c r="M420" s="37" t="n"/>
      <c r="N420" s="10">
        <f>G420*2400+K420+L420+M420</f>
        <v/>
      </c>
      <c r="O420" s="10">
        <f>(K420+M420)/G420</f>
        <v/>
      </c>
      <c r="P420" s="10">
        <f>L420/G420</f>
        <v/>
      </c>
      <c r="Q420" s="10">
        <f>N420*D420/1000</f>
        <v/>
      </c>
      <c r="R420" s="11">
        <f>K420*D420/1000</f>
        <v/>
      </c>
      <c r="S420" s="11">
        <f>L420*D420/1000</f>
        <v/>
      </c>
    </row>
    <row r="421" ht="46.5" customHeight="1">
      <c r="A421" s="25" t="n"/>
      <c r="B421" s="25" t="n"/>
      <c r="C421" s="25" t="n"/>
      <c r="D421" s="25" t="n"/>
      <c r="E421" s="25" t="n"/>
      <c r="F421" s="25" t="n"/>
      <c r="G421" s="25" t="n"/>
      <c r="H421" s="25" t="n"/>
      <c r="I421" s="25" t="n"/>
      <c r="J421" s="25" t="n"/>
      <c r="K421" s="37" t="n"/>
      <c r="L421" s="37" t="n"/>
      <c r="M421" s="37" t="n"/>
      <c r="N421" s="10">
        <f>G421*2400+K421+L421+M421</f>
        <v/>
      </c>
      <c r="O421" s="10">
        <f>(K421+M421)/G421</f>
        <v/>
      </c>
      <c r="P421" s="10">
        <f>L421/G421</f>
        <v/>
      </c>
      <c r="Q421" s="10">
        <f>N421*D421/1000</f>
        <v/>
      </c>
      <c r="R421" s="11">
        <f>K421*D421/1000</f>
        <v/>
      </c>
      <c r="S421" s="11">
        <f>L421*D421/1000</f>
        <v/>
      </c>
    </row>
    <row r="422" ht="46.5" customHeight="1">
      <c r="A422" s="25" t="n"/>
      <c r="B422" s="25" t="n"/>
      <c r="C422" s="25" t="n"/>
      <c r="D422" s="25" t="n"/>
      <c r="E422" s="25" t="n"/>
      <c r="F422" s="25" t="n"/>
      <c r="G422" s="25" t="n"/>
      <c r="H422" s="25" t="n"/>
      <c r="I422" s="25" t="n"/>
      <c r="J422" s="25" t="n"/>
      <c r="K422" s="37" t="n"/>
      <c r="L422" s="37" t="n"/>
      <c r="M422" s="37" t="n"/>
      <c r="N422" s="10">
        <f>G422*2400+K422+L422+M422</f>
        <v/>
      </c>
      <c r="O422" s="10">
        <f>(K422+M422)/G422</f>
        <v/>
      </c>
      <c r="P422" s="10">
        <f>L422/G422</f>
        <v/>
      </c>
      <c r="Q422" s="10">
        <f>N422*D422/1000</f>
        <v/>
      </c>
      <c r="R422" s="11">
        <f>K422*D422/1000</f>
        <v/>
      </c>
      <c r="S422" s="11">
        <f>L422*D422/1000</f>
        <v/>
      </c>
    </row>
    <row r="423" ht="46.5" customHeight="1">
      <c r="A423" s="25" t="n"/>
      <c r="B423" s="25" t="n"/>
      <c r="C423" s="25" t="n"/>
      <c r="D423" s="25" t="n"/>
      <c r="E423" s="25" t="n"/>
      <c r="F423" s="25" t="n"/>
      <c r="G423" s="25" t="n"/>
      <c r="H423" s="25" t="n"/>
      <c r="I423" s="25" t="n"/>
      <c r="J423" s="25" t="n"/>
      <c r="K423" s="37" t="n"/>
      <c r="L423" s="37" t="n"/>
      <c r="M423" s="37" t="n"/>
      <c r="N423" s="10">
        <f>G423*2400+K423+L423+M423</f>
        <v/>
      </c>
      <c r="O423" s="10">
        <f>(K423+M423)/G423</f>
        <v/>
      </c>
      <c r="P423" s="10">
        <f>L423/G423</f>
        <v/>
      </c>
      <c r="Q423" s="10">
        <f>N423*D423/1000</f>
        <v/>
      </c>
      <c r="R423" s="11">
        <f>K423*D423/1000</f>
        <v/>
      </c>
      <c r="S423" s="11">
        <f>L423*D423/1000</f>
        <v/>
      </c>
    </row>
    <row r="424" ht="46.5" customHeight="1">
      <c r="A424" s="25" t="n"/>
      <c r="B424" s="25" t="n"/>
      <c r="C424" s="25" t="n"/>
      <c r="D424" s="25" t="n"/>
      <c r="E424" s="25" t="n"/>
      <c r="F424" s="25" t="n"/>
      <c r="G424" s="25" t="n"/>
      <c r="H424" s="25" t="n"/>
      <c r="I424" s="25" t="n"/>
      <c r="J424" s="25" t="n"/>
      <c r="K424" s="37" t="n"/>
      <c r="L424" s="37" t="n"/>
      <c r="M424" s="37" t="n"/>
      <c r="N424" s="10">
        <f>G424*2400+K424+L424+M424</f>
        <v/>
      </c>
      <c r="O424" s="10">
        <f>(K424+M424)/G424</f>
        <v/>
      </c>
      <c r="P424" s="10">
        <f>L424/G424</f>
        <v/>
      </c>
      <c r="Q424" s="10">
        <f>N424*D424/1000</f>
        <v/>
      </c>
      <c r="R424" s="11">
        <f>K424*D424/1000</f>
        <v/>
      </c>
      <c r="S424" s="11">
        <f>L424*D424/1000</f>
        <v/>
      </c>
    </row>
    <row r="425" ht="46.5" customHeight="1">
      <c r="A425" s="25" t="n"/>
      <c r="B425" s="25" t="n"/>
      <c r="C425" s="25" t="n"/>
      <c r="D425" s="25" t="n"/>
      <c r="E425" s="25" t="n"/>
      <c r="F425" s="25" t="n"/>
      <c r="G425" s="25" t="n"/>
      <c r="H425" s="25" t="n"/>
      <c r="I425" s="25" t="n"/>
      <c r="J425" s="25" t="n"/>
      <c r="K425" s="37" t="n"/>
      <c r="L425" s="37" t="n"/>
      <c r="M425" s="37" t="n"/>
      <c r="N425" s="10">
        <f>G425*2400+K425+L425+M425</f>
        <v/>
      </c>
      <c r="O425" s="10">
        <f>(K425+M425)/G425</f>
        <v/>
      </c>
      <c r="P425" s="10">
        <f>L425/G425</f>
        <v/>
      </c>
      <c r="Q425" s="10">
        <f>N425*D425/1000</f>
        <v/>
      </c>
      <c r="R425" s="11">
        <f>K425*D425/1000</f>
        <v/>
      </c>
      <c r="S425" s="11">
        <f>L425*D425/1000</f>
        <v/>
      </c>
    </row>
    <row r="426" ht="46.5" customHeight="1">
      <c r="A426" s="25" t="n"/>
      <c r="B426" s="25" t="n"/>
      <c r="C426" s="25" t="n"/>
      <c r="D426" s="25" t="n"/>
      <c r="E426" s="25" t="n"/>
      <c r="F426" s="25" t="n"/>
      <c r="G426" s="25" t="n"/>
      <c r="H426" s="25" t="n"/>
      <c r="I426" s="25" t="n"/>
      <c r="J426" s="25" t="n"/>
      <c r="K426" s="37" t="n"/>
      <c r="L426" s="37" t="n"/>
      <c r="M426" s="37" t="n"/>
      <c r="N426" s="10">
        <f>G426*2400+K426+L426+M426</f>
        <v/>
      </c>
      <c r="O426" s="10">
        <f>(K426+M426)/G426</f>
        <v/>
      </c>
      <c r="P426" s="10">
        <f>L426/G426</f>
        <v/>
      </c>
      <c r="Q426" s="10">
        <f>N426*D426/1000</f>
        <v/>
      </c>
      <c r="R426" s="11">
        <f>K426*D426/1000</f>
        <v/>
      </c>
      <c r="S426" s="11">
        <f>L426*D426/1000</f>
        <v/>
      </c>
    </row>
    <row r="427" ht="46.5" customHeight="1">
      <c r="A427" s="25" t="n"/>
      <c r="B427" s="25" t="n"/>
      <c r="C427" s="25" t="n"/>
      <c r="D427" s="25" t="n"/>
      <c r="E427" s="25" t="n"/>
      <c r="F427" s="25" t="n"/>
      <c r="G427" s="25" t="n"/>
      <c r="H427" s="25" t="n"/>
      <c r="I427" s="25" t="n"/>
      <c r="J427" s="25" t="n"/>
      <c r="K427" s="37" t="n"/>
      <c r="L427" s="37" t="n"/>
      <c r="M427" s="37" t="n"/>
      <c r="N427" s="10">
        <f>G427*2400+K427+L427+M427</f>
        <v/>
      </c>
      <c r="O427" s="10">
        <f>(K427+M427)/G427</f>
        <v/>
      </c>
      <c r="P427" s="10">
        <f>L427/G427</f>
        <v/>
      </c>
      <c r="Q427" s="10">
        <f>N427*D427/1000</f>
        <v/>
      </c>
      <c r="R427" s="11">
        <f>K427*D427/1000</f>
        <v/>
      </c>
      <c r="S427" s="11">
        <f>L427*D427/1000</f>
        <v/>
      </c>
    </row>
    <row r="428" ht="46.5" customHeight="1">
      <c r="A428" s="25" t="n"/>
      <c r="B428" s="25" t="n"/>
      <c r="C428" s="25" t="n"/>
      <c r="D428" s="25" t="n"/>
      <c r="E428" s="25" t="n"/>
      <c r="F428" s="25" t="n"/>
      <c r="G428" s="25" t="n"/>
      <c r="H428" s="25" t="n"/>
      <c r="I428" s="25" t="n"/>
      <c r="J428" s="25" t="n"/>
      <c r="K428" s="37" t="n"/>
      <c r="L428" s="37" t="n"/>
      <c r="M428" s="37" t="n"/>
      <c r="N428" s="10">
        <f>G428*2400+K428+L428+M428</f>
        <v/>
      </c>
      <c r="O428" s="10">
        <f>(K428+M428)/G428</f>
        <v/>
      </c>
      <c r="P428" s="10">
        <f>L428/G428</f>
        <v/>
      </c>
      <c r="Q428" s="10">
        <f>N428*D428/1000</f>
        <v/>
      </c>
      <c r="R428" s="11">
        <f>K428*D428/1000</f>
        <v/>
      </c>
      <c r="S428" s="11">
        <f>L428*D428/1000</f>
        <v/>
      </c>
    </row>
    <row r="429" ht="46.5" customHeight="1">
      <c r="A429" s="25" t="n"/>
      <c r="B429" s="25" t="n"/>
      <c r="C429" s="25" t="n"/>
      <c r="D429" s="25" t="n"/>
      <c r="E429" s="25" t="n"/>
      <c r="F429" s="25" t="n"/>
      <c r="G429" s="25" t="n"/>
      <c r="H429" s="25" t="n"/>
      <c r="I429" s="25" t="n"/>
      <c r="J429" s="25" t="n"/>
      <c r="K429" s="37" t="n"/>
      <c r="L429" s="37" t="n"/>
      <c r="M429" s="37" t="n"/>
      <c r="N429" s="10">
        <f>G429*2400+K429+L429+M429</f>
        <v/>
      </c>
      <c r="O429" s="10">
        <f>(K429+M429)/G429</f>
        <v/>
      </c>
      <c r="P429" s="10">
        <f>L429/G429</f>
        <v/>
      </c>
      <c r="Q429" s="10">
        <f>N429*D429/1000</f>
        <v/>
      </c>
      <c r="R429" s="11">
        <f>K429*D429/1000</f>
        <v/>
      </c>
      <c r="S429" s="11">
        <f>L429*D429/1000</f>
        <v/>
      </c>
    </row>
    <row r="430" ht="46.5" customHeight="1">
      <c r="A430" s="25" t="n"/>
      <c r="B430" s="25" t="n"/>
      <c r="C430" s="25" t="n"/>
      <c r="D430" s="25" t="n"/>
      <c r="E430" s="25" t="n"/>
      <c r="F430" s="25" t="n"/>
      <c r="G430" s="25" t="n"/>
      <c r="H430" s="25" t="n"/>
      <c r="I430" s="25" t="n"/>
      <c r="J430" s="25" t="n"/>
      <c r="K430" s="37" t="n"/>
      <c r="L430" s="37" t="n"/>
      <c r="M430" s="37" t="n"/>
      <c r="N430" s="10">
        <f>G430*2400+K430+L430+M430</f>
        <v/>
      </c>
      <c r="O430" s="10">
        <f>(K430+M430)/G430</f>
        <v/>
      </c>
      <c r="P430" s="10">
        <f>L430/G430</f>
        <v/>
      </c>
      <c r="Q430" s="10">
        <f>N430*D430/1000</f>
        <v/>
      </c>
      <c r="R430" s="11">
        <f>K430*D430/1000</f>
        <v/>
      </c>
      <c r="S430" s="11">
        <f>L430*D430/1000</f>
        <v/>
      </c>
    </row>
    <row r="431" ht="46.5" customHeight="1">
      <c r="A431" s="25" t="n"/>
      <c r="B431" s="25" t="n"/>
      <c r="C431" s="25" t="n"/>
      <c r="D431" s="25" t="n"/>
      <c r="E431" s="25" t="n"/>
      <c r="F431" s="25" t="n"/>
      <c r="G431" s="25" t="n"/>
      <c r="H431" s="25" t="n"/>
      <c r="I431" s="25" t="n"/>
      <c r="J431" s="25" t="n"/>
      <c r="K431" s="37" t="n"/>
      <c r="L431" s="37" t="n"/>
      <c r="M431" s="37" t="n"/>
      <c r="N431" s="10">
        <f>G431*2400+K431+L431+M431</f>
        <v/>
      </c>
      <c r="O431" s="10">
        <f>(K431+M431)/G431</f>
        <v/>
      </c>
      <c r="P431" s="10">
        <f>L431/G431</f>
        <v/>
      </c>
      <c r="Q431" s="10">
        <f>N431*D431/1000</f>
        <v/>
      </c>
      <c r="R431" s="11">
        <f>K431*D431/1000</f>
        <v/>
      </c>
      <c r="S431" s="11">
        <f>L431*D431/1000</f>
        <v/>
      </c>
    </row>
    <row r="432" ht="46.5" customHeight="1">
      <c r="A432" s="25" t="n"/>
      <c r="B432" s="25" t="n"/>
      <c r="C432" s="25" t="n"/>
      <c r="D432" s="25" t="n"/>
      <c r="E432" s="25" t="n"/>
      <c r="F432" s="25" t="n"/>
      <c r="G432" s="25" t="n"/>
      <c r="H432" s="25" t="n"/>
      <c r="I432" s="25" t="n"/>
      <c r="J432" s="25" t="n"/>
      <c r="K432" s="37" t="n"/>
      <c r="L432" s="37" t="n"/>
      <c r="M432" s="37" t="n"/>
      <c r="N432" s="10">
        <f>G432*2400+K432+L432+M432</f>
        <v/>
      </c>
      <c r="O432" s="10">
        <f>(K432+M432)/G432</f>
        <v/>
      </c>
      <c r="P432" s="10">
        <f>L432/G432</f>
        <v/>
      </c>
      <c r="Q432" s="10">
        <f>N432*D432/1000</f>
        <v/>
      </c>
      <c r="R432" s="11">
        <f>K432*D432/1000</f>
        <v/>
      </c>
      <c r="S432" s="11">
        <f>L432*D432/1000</f>
        <v/>
      </c>
    </row>
    <row r="433" ht="46.5" customHeight="1">
      <c r="A433" s="25" t="n"/>
      <c r="B433" s="25" t="n"/>
      <c r="C433" s="25" t="n"/>
      <c r="D433" s="25" t="n"/>
      <c r="E433" s="25" t="n"/>
      <c r="F433" s="25" t="n"/>
      <c r="G433" s="25" t="n"/>
      <c r="H433" s="25" t="n"/>
      <c r="I433" s="25" t="n"/>
      <c r="J433" s="25" t="n"/>
      <c r="K433" s="37" t="n"/>
      <c r="L433" s="37" t="n"/>
      <c r="M433" s="37" t="n"/>
      <c r="N433" s="10">
        <f>G433*2400+K433+L433+M433</f>
        <v/>
      </c>
      <c r="O433" s="10">
        <f>(K433+M433)/G433</f>
        <v/>
      </c>
      <c r="P433" s="10">
        <f>L433/G433</f>
        <v/>
      </c>
      <c r="Q433" s="10">
        <f>N433*D433/1000</f>
        <v/>
      </c>
      <c r="R433" s="11">
        <f>K433*D433/1000</f>
        <v/>
      </c>
      <c r="S433" s="11">
        <f>L433*D433/1000</f>
        <v/>
      </c>
    </row>
    <row r="434" ht="46.5" customHeight="1">
      <c r="A434" s="25" t="n"/>
      <c r="B434" s="25" t="n"/>
      <c r="C434" s="25" t="n"/>
      <c r="D434" s="25" t="n"/>
      <c r="E434" s="25" t="n"/>
      <c r="F434" s="25" t="n"/>
      <c r="G434" s="25" t="n"/>
      <c r="H434" s="25" t="n"/>
      <c r="I434" s="25" t="n"/>
      <c r="J434" s="25" t="n"/>
      <c r="K434" s="37" t="n"/>
      <c r="L434" s="37" t="n"/>
      <c r="M434" s="37" t="n"/>
      <c r="N434" s="10">
        <f>G434*2400+K434+L434+M434</f>
        <v/>
      </c>
      <c r="O434" s="10">
        <f>(K434+M434)/G434</f>
        <v/>
      </c>
      <c r="P434" s="10">
        <f>L434/G434</f>
        <v/>
      </c>
      <c r="Q434" s="10">
        <f>N434*D434/1000</f>
        <v/>
      </c>
      <c r="R434" s="11">
        <f>K434*D434/1000</f>
        <v/>
      </c>
      <c r="S434" s="11">
        <f>L434*D434/1000</f>
        <v/>
      </c>
    </row>
    <row r="435" ht="46.5" customHeight="1">
      <c r="A435" s="25" t="n"/>
      <c r="B435" s="25" t="n"/>
      <c r="C435" s="25" t="n"/>
      <c r="D435" s="25" t="n"/>
      <c r="E435" s="25" t="n"/>
      <c r="F435" s="25" t="n"/>
      <c r="G435" s="25" t="n"/>
      <c r="H435" s="25" t="n"/>
      <c r="I435" s="25" t="n"/>
      <c r="J435" s="25" t="n"/>
      <c r="K435" s="37" t="n"/>
      <c r="L435" s="37" t="n"/>
      <c r="M435" s="37" t="n"/>
      <c r="N435" s="10">
        <f>G435*2400+K435+L435+M435</f>
        <v/>
      </c>
      <c r="O435" s="10">
        <f>(K435+M435)/G435</f>
        <v/>
      </c>
      <c r="P435" s="10">
        <f>L435/G435</f>
        <v/>
      </c>
      <c r="Q435" s="10">
        <f>N435*D435/1000</f>
        <v/>
      </c>
      <c r="R435" s="11">
        <f>K435*D435/1000</f>
        <v/>
      </c>
      <c r="S435" s="11">
        <f>L435*D435/1000</f>
        <v/>
      </c>
    </row>
    <row r="436" ht="46.5" customHeight="1">
      <c r="A436" s="25" t="n"/>
      <c r="B436" s="25" t="n"/>
      <c r="C436" s="25" t="n"/>
      <c r="D436" s="25" t="n"/>
      <c r="E436" s="25" t="n"/>
      <c r="F436" s="25" t="n"/>
      <c r="G436" s="25" t="n"/>
      <c r="H436" s="25" t="n"/>
      <c r="I436" s="25" t="n"/>
      <c r="J436" s="25" t="n"/>
      <c r="K436" s="37" t="n"/>
      <c r="L436" s="37" t="n"/>
      <c r="M436" s="37" t="n"/>
      <c r="N436" s="10">
        <f>G436*2400+K436+L436+M436</f>
        <v/>
      </c>
      <c r="O436" s="10">
        <f>(K436+M436)/G436</f>
        <v/>
      </c>
      <c r="P436" s="10">
        <f>L436/G436</f>
        <v/>
      </c>
      <c r="Q436" s="10">
        <f>N436*D436/1000</f>
        <v/>
      </c>
      <c r="R436" s="11">
        <f>K436*D436/1000</f>
        <v/>
      </c>
      <c r="S436" s="11">
        <f>L436*D436/1000</f>
        <v/>
      </c>
    </row>
    <row r="437" ht="46.5" customHeight="1">
      <c r="A437" s="25" t="n"/>
      <c r="B437" s="25" t="n"/>
      <c r="C437" s="25" t="n"/>
      <c r="D437" s="25" t="n"/>
      <c r="E437" s="25" t="n"/>
      <c r="F437" s="25" t="n"/>
      <c r="G437" s="25" t="n"/>
      <c r="H437" s="25" t="n"/>
      <c r="I437" s="25" t="n"/>
      <c r="J437" s="25" t="n"/>
      <c r="K437" s="37" t="n"/>
      <c r="L437" s="37" t="n"/>
      <c r="M437" s="37" t="n"/>
      <c r="N437" s="10">
        <f>G437*2400+K437+L437+M437</f>
        <v/>
      </c>
      <c r="O437" s="10">
        <f>(K437+M437)/G437</f>
        <v/>
      </c>
      <c r="P437" s="10">
        <f>L437/G437</f>
        <v/>
      </c>
      <c r="Q437" s="10">
        <f>N437*D437/1000</f>
        <v/>
      </c>
      <c r="R437" s="11">
        <f>K437*D437/1000</f>
        <v/>
      </c>
      <c r="S437" s="11">
        <f>L437*D437/1000</f>
        <v/>
      </c>
    </row>
    <row r="438" ht="46.5" customHeight="1">
      <c r="A438" s="25" t="n"/>
      <c r="B438" s="25" t="n"/>
      <c r="C438" s="25" t="n"/>
      <c r="D438" s="25" t="n"/>
      <c r="E438" s="25" t="n"/>
      <c r="F438" s="25" t="n"/>
      <c r="G438" s="25" t="n"/>
      <c r="H438" s="25" t="n"/>
      <c r="I438" s="25" t="n"/>
      <c r="J438" s="25" t="n"/>
      <c r="K438" s="37" t="n"/>
      <c r="L438" s="37" t="n"/>
      <c r="M438" s="37" t="n"/>
      <c r="N438" s="10">
        <f>G438*2400+K438+L438+M438</f>
        <v/>
      </c>
      <c r="O438" s="10">
        <f>(K438+M438)/G438</f>
        <v/>
      </c>
      <c r="P438" s="10">
        <f>L438/G438</f>
        <v/>
      </c>
      <c r="Q438" s="10">
        <f>N438*D438/1000</f>
        <v/>
      </c>
      <c r="R438" s="11">
        <f>K438*D438/1000</f>
        <v/>
      </c>
      <c r="S438" s="11">
        <f>L438*D438/1000</f>
        <v/>
      </c>
    </row>
    <row r="439" ht="46.5" customHeight="1">
      <c r="A439" s="25" t="n"/>
      <c r="B439" s="25" t="n"/>
      <c r="C439" s="25" t="n"/>
      <c r="D439" s="25" t="n"/>
      <c r="E439" s="25" t="n"/>
      <c r="F439" s="25" t="n"/>
      <c r="G439" s="25" t="n"/>
      <c r="H439" s="25" t="n"/>
      <c r="I439" s="25" t="n"/>
      <c r="J439" s="25" t="n"/>
      <c r="K439" s="37" t="n"/>
      <c r="L439" s="37" t="n"/>
      <c r="M439" s="37" t="n"/>
      <c r="N439" s="10">
        <f>G439*2400+K439+L439+M439</f>
        <v/>
      </c>
      <c r="O439" s="10">
        <f>(K439+M439)/G439</f>
        <v/>
      </c>
      <c r="P439" s="10">
        <f>L439/G439</f>
        <v/>
      </c>
      <c r="Q439" s="10">
        <f>N439*D439/1000</f>
        <v/>
      </c>
      <c r="R439" s="11">
        <f>K439*D439/1000</f>
        <v/>
      </c>
      <c r="S439" s="11">
        <f>L439*D439/1000</f>
        <v/>
      </c>
    </row>
    <row r="440" ht="46.5" customHeight="1">
      <c r="A440" s="25" t="n"/>
      <c r="B440" s="25" t="n"/>
      <c r="C440" s="25" t="n"/>
      <c r="D440" s="25" t="n"/>
      <c r="E440" s="25" t="n"/>
      <c r="F440" s="25" t="n"/>
      <c r="G440" s="25" t="n"/>
      <c r="H440" s="25" t="n"/>
      <c r="I440" s="25" t="n"/>
      <c r="J440" s="25" t="n"/>
      <c r="K440" s="37" t="n"/>
      <c r="L440" s="37" t="n"/>
      <c r="M440" s="37" t="n"/>
      <c r="N440" s="10">
        <f>G440*2400+K440+L440+M440</f>
        <v/>
      </c>
      <c r="O440" s="10">
        <f>(K440+M440)/G440</f>
        <v/>
      </c>
      <c r="P440" s="10">
        <f>L440/G440</f>
        <v/>
      </c>
      <c r="Q440" s="10">
        <f>N440*D440/1000</f>
        <v/>
      </c>
      <c r="R440" s="11">
        <f>K440*D440/1000</f>
        <v/>
      </c>
      <c r="S440" s="11">
        <f>L440*D440/1000</f>
        <v/>
      </c>
    </row>
    <row r="441" ht="46.5" customHeight="1">
      <c r="A441" s="25" t="n"/>
      <c r="B441" s="25" t="n"/>
      <c r="C441" s="25" t="n"/>
      <c r="D441" s="25" t="n"/>
      <c r="E441" s="25" t="n"/>
      <c r="F441" s="25" t="n"/>
      <c r="G441" s="25" t="n"/>
      <c r="H441" s="25" t="n"/>
      <c r="I441" s="25" t="n"/>
      <c r="J441" s="25" t="n"/>
      <c r="K441" s="37" t="n"/>
      <c r="L441" s="37" t="n"/>
      <c r="M441" s="37" t="n"/>
      <c r="N441" s="10">
        <f>G441*2400+K441+L441+M441</f>
        <v/>
      </c>
      <c r="O441" s="10">
        <f>(K441+M441)/G441</f>
        <v/>
      </c>
      <c r="P441" s="10">
        <f>L441/G441</f>
        <v/>
      </c>
      <c r="Q441" s="10">
        <f>N441*D441/1000</f>
        <v/>
      </c>
      <c r="R441" s="11">
        <f>K441*D441/1000</f>
        <v/>
      </c>
      <c r="S441" s="11">
        <f>L441*D441/1000</f>
        <v/>
      </c>
    </row>
    <row r="442" ht="46.5" customHeight="1">
      <c r="A442" s="25" t="n"/>
      <c r="B442" s="25" t="n"/>
      <c r="C442" s="25" t="n"/>
      <c r="D442" s="25" t="n"/>
      <c r="E442" s="25" t="n"/>
      <c r="F442" s="25" t="n"/>
      <c r="G442" s="25" t="n"/>
      <c r="H442" s="25" t="n"/>
      <c r="I442" s="25" t="n"/>
      <c r="J442" s="25" t="n"/>
      <c r="K442" s="37" t="n"/>
      <c r="L442" s="37" t="n"/>
      <c r="M442" s="37" t="n"/>
      <c r="N442" s="10">
        <f>G442*2400+K442+L442+M442</f>
        <v/>
      </c>
      <c r="O442" s="10">
        <f>(K442+M442)/G442</f>
        <v/>
      </c>
      <c r="P442" s="10">
        <f>L442/G442</f>
        <v/>
      </c>
      <c r="Q442" s="10">
        <f>N442*D442/1000</f>
        <v/>
      </c>
      <c r="R442" s="11">
        <f>K442*D442/1000</f>
        <v/>
      </c>
      <c r="S442" s="11">
        <f>L442*D442/1000</f>
        <v/>
      </c>
    </row>
    <row r="443" ht="46.5" customHeight="1">
      <c r="A443" s="25" t="n"/>
      <c r="B443" s="25" t="n"/>
      <c r="C443" s="25" t="n"/>
      <c r="D443" s="25" t="n"/>
      <c r="E443" s="25" t="n"/>
      <c r="F443" s="25" t="n"/>
      <c r="G443" s="25" t="n"/>
      <c r="H443" s="25" t="n"/>
      <c r="I443" s="25" t="n"/>
      <c r="J443" s="25" t="n"/>
      <c r="K443" s="37" t="n"/>
      <c r="L443" s="37" t="n"/>
      <c r="M443" s="37" t="n"/>
      <c r="N443" s="10">
        <f>G443*2400+K443+L443+M443</f>
        <v/>
      </c>
      <c r="O443" s="10">
        <f>(K443+M443)/G443</f>
        <v/>
      </c>
      <c r="P443" s="10">
        <f>L443/G443</f>
        <v/>
      </c>
      <c r="Q443" s="10">
        <f>N443*D443/1000</f>
        <v/>
      </c>
      <c r="R443" s="11">
        <f>K443*D443/1000</f>
        <v/>
      </c>
      <c r="S443" s="11">
        <f>L443*D443/1000</f>
        <v/>
      </c>
    </row>
    <row r="444" ht="46.5" customHeight="1">
      <c r="A444" s="25" t="n"/>
      <c r="B444" s="25" t="n"/>
      <c r="C444" s="25" t="n"/>
      <c r="D444" s="25" t="n"/>
      <c r="E444" s="25" t="n"/>
      <c r="F444" s="25" t="n"/>
      <c r="G444" s="25" t="n"/>
      <c r="H444" s="25" t="n"/>
      <c r="I444" s="25" t="n"/>
      <c r="J444" s="25" t="n"/>
      <c r="K444" s="37" t="n"/>
      <c r="L444" s="37" t="n"/>
      <c r="M444" s="37" t="n"/>
      <c r="N444" s="10">
        <f>G444*2400+K444+L444+M444</f>
        <v/>
      </c>
      <c r="O444" s="10">
        <f>(K444+M444)/G444</f>
        <v/>
      </c>
      <c r="P444" s="10">
        <f>L444/G444</f>
        <v/>
      </c>
      <c r="Q444" s="10">
        <f>N444*D444/1000</f>
        <v/>
      </c>
      <c r="R444" s="11">
        <f>K444*D444/1000</f>
        <v/>
      </c>
      <c r="S444" s="11">
        <f>L444*D444/1000</f>
        <v/>
      </c>
    </row>
    <row r="445" ht="46.5" customHeight="1">
      <c r="A445" s="25" t="n"/>
      <c r="B445" s="25" t="n"/>
      <c r="C445" s="25" t="n"/>
      <c r="D445" s="25" t="n"/>
      <c r="E445" s="25" t="n"/>
      <c r="F445" s="25" t="n"/>
      <c r="G445" s="25" t="n"/>
      <c r="H445" s="25" t="n"/>
      <c r="I445" s="25" t="n"/>
      <c r="J445" s="25" t="n"/>
      <c r="K445" s="37" t="n"/>
      <c r="L445" s="37" t="n"/>
      <c r="M445" s="37" t="n"/>
      <c r="N445" s="10">
        <f>G445*2400+K445+L445+M445</f>
        <v/>
      </c>
      <c r="O445" s="10">
        <f>(K445+M445)/G445</f>
        <v/>
      </c>
      <c r="P445" s="10">
        <f>L445/G445</f>
        <v/>
      </c>
      <c r="Q445" s="10">
        <f>N445*D445/1000</f>
        <v/>
      </c>
      <c r="R445" s="11">
        <f>K445*D445/1000</f>
        <v/>
      </c>
      <c r="S445" s="11">
        <f>L445*D445/1000</f>
        <v/>
      </c>
    </row>
    <row r="446" ht="46.5" customHeight="1">
      <c r="A446" s="25" t="n"/>
      <c r="B446" s="25" t="n"/>
      <c r="C446" s="25" t="n"/>
      <c r="D446" s="25" t="n"/>
      <c r="E446" s="25" t="n"/>
      <c r="F446" s="25" t="n"/>
      <c r="G446" s="25" t="n"/>
      <c r="H446" s="25" t="n"/>
      <c r="I446" s="25" t="n"/>
      <c r="J446" s="25" t="n"/>
      <c r="K446" s="37" t="n"/>
      <c r="L446" s="37" t="n"/>
      <c r="M446" s="37" t="n"/>
      <c r="N446" s="10">
        <f>G446*2400+K446+L446+M446</f>
        <v/>
      </c>
      <c r="O446" s="10">
        <f>(K446+M446)/G446</f>
        <v/>
      </c>
      <c r="P446" s="10">
        <f>L446/G446</f>
        <v/>
      </c>
      <c r="Q446" s="10">
        <f>N446*D446/1000</f>
        <v/>
      </c>
      <c r="R446" s="11">
        <f>K446*D446/1000</f>
        <v/>
      </c>
      <c r="S446" s="11">
        <f>L446*D446/1000</f>
        <v/>
      </c>
    </row>
    <row r="447" ht="46.5" customHeight="1">
      <c r="A447" s="25" t="n"/>
      <c r="B447" s="25" t="n"/>
      <c r="C447" s="25" t="n"/>
      <c r="D447" s="25" t="n"/>
      <c r="E447" s="25" t="n"/>
      <c r="F447" s="25" t="n"/>
      <c r="G447" s="25" t="n"/>
      <c r="H447" s="25" t="n"/>
      <c r="I447" s="25" t="n"/>
      <c r="J447" s="25" t="n"/>
      <c r="K447" s="37" t="n"/>
      <c r="L447" s="37" t="n"/>
      <c r="M447" s="37" t="n"/>
      <c r="N447" s="10">
        <f>G447*2400+K447+L447+M447</f>
        <v/>
      </c>
      <c r="O447" s="10">
        <f>(K447+M447)/G447</f>
        <v/>
      </c>
      <c r="P447" s="10">
        <f>L447/G447</f>
        <v/>
      </c>
      <c r="Q447" s="10">
        <f>N447*D447/1000</f>
        <v/>
      </c>
      <c r="R447" s="11">
        <f>K447*D447/1000</f>
        <v/>
      </c>
      <c r="S447" s="11">
        <f>L447*D447/1000</f>
        <v/>
      </c>
    </row>
    <row r="448" ht="46.5" customHeight="1">
      <c r="A448" s="25" t="n"/>
      <c r="B448" s="25" t="n"/>
      <c r="C448" s="25" t="n"/>
      <c r="D448" s="25" t="n"/>
      <c r="E448" s="25" t="n"/>
      <c r="F448" s="25" t="n"/>
      <c r="G448" s="25" t="n"/>
      <c r="H448" s="25" t="n"/>
      <c r="I448" s="25" t="n"/>
      <c r="J448" s="25" t="n"/>
      <c r="K448" s="37" t="n"/>
      <c r="L448" s="37" t="n"/>
      <c r="M448" s="37" t="n"/>
      <c r="N448" s="10">
        <f>G448*2400+K448+L448+M448</f>
        <v/>
      </c>
      <c r="O448" s="10">
        <f>(K448+M448)/G448</f>
        <v/>
      </c>
      <c r="P448" s="10">
        <f>L448/G448</f>
        <v/>
      </c>
      <c r="Q448" s="10">
        <f>N448*D448/1000</f>
        <v/>
      </c>
      <c r="R448" s="11">
        <f>K448*D448/1000</f>
        <v/>
      </c>
      <c r="S448" s="11">
        <f>L448*D448/1000</f>
        <v/>
      </c>
    </row>
    <row r="449" ht="46.5" customHeight="1">
      <c r="A449" s="25" t="n"/>
      <c r="B449" s="25" t="n"/>
      <c r="C449" s="25" t="n"/>
      <c r="D449" s="25" t="n"/>
      <c r="E449" s="25" t="n"/>
      <c r="F449" s="25" t="n"/>
      <c r="G449" s="25" t="n"/>
      <c r="H449" s="25" t="n"/>
      <c r="I449" s="25" t="n"/>
      <c r="J449" s="25" t="n"/>
      <c r="K449" s="37" t="n"/>
      <c r="L449" s="37" t="n"/>
      <c r="M449" s="37" t="n"/>
      <c r="N449" s="10">
        <f>G449*2400+K449+L449+M449</f>
        <v/>
      </c>
      <c r="O449" s="10">
        <f>(K449+M449)/G449</f>
        <v/>
      </c>
      <c r="P449" s="10">
        <f>L449/G449</f>
        <v/>
      </c>
      <c r="Q449" s="10">
        <f>N449*D449/1000</f>
        <v/>
      </c>
      <c r="R449" s="11">
        <f>K449*D449/1000</f>
        <v/>
      </c>
      <c r="S449" s="11">
        <f>L449*D449/1000</f>
        <v/>
      </c>
    </row>
    <row r="450" ht="46.5" customHeight="1">
      <c r="A450" s="25" t="n"/>
      <c r="B450" s="25" t="n"/>
      <c r="C450" s="25" t="n"/>
      <c r="D450" s="25" t="n"/>
      <c r="E450" s="25" t="n"/>
      <c r="F450" s="25" t="n"/>
      <c r="G450" s="25" t="n"/>
      <c r="H450" s="25" t="n"/>
      <c r="I450" s="25" t="n"/>
      <c r="J450" s="25" t="n"/>
      <c r="K450" s="37" t="n"/>
      <c r="L450" s="37" t="n"/>
      <c r="M450" s="37" t="n"/>
      <c r="N450" s="10">
        <f>G450*2400+K450+L450+M450</f>
        <v/>
      </c>
      <c r="O450" s="10">
        <f>(K450+M450)/G450</f>
        <v/>
      </c>
      <c r="P450" s="10">
        <f>L450/G450</f>
        <v/>
      </c>
      <c r="Q450" s="10">
        <f>N450*D450/1000</f>
        <v/>
      </c>
      <c r="R450" s="11">
        <f>K450*D450/1000</f>
        <v/>
      </c>
      <c r="S450" s="11">
        <f>L450*D450/1000</f>
        <v/>
      </c>
    </row>
    <row r="451" ht="46.5" customHeight="1">
      <c r="A451" s="25" t="n"/>
      <c r="B451" s="25" t="n"/>
      <c r="C451" s="25" t="n"/>
      <c r="D451" s="25" t="n"/>
      <c r="E451" s="25" t="n"/>
      <c r="F451" s="25" t="n"/>
      <c r="G451" s="25" t="n"/>
      <c r="H451" s="25" t="n"/>
      <c r="I451" s="25" t="n"/>
      <c r="J451" s="25" t="n"/>
      <c r="K451" s="37" t="n"/>
      <c r="L451" s="37" t="n"/>
      <c r="M451" s="37" t="n"/>
      <c r="N451" s="10">
        <f>G451*2400+K451+L451+M451</f>
        <v/>
      </c>
      <c r="O451" s="10">
        <f>(K451+M451)/G451</f>
        <v/>
      </c>
      <c r="P451" s="10">
        <f>L451/G451</f>
        <v/>
      </c>
      <c r="Q451" s="10">
        <f>N451*D451/1000</f>
        <v/>
      </c>
      <c r="R451" s="11">
        <f>K451*D451/1000</f>
        <v/>
      </c>
      <c r="S451" s="11">
        <f>L451*D451/1000</f>
        <v/>
      </c>
    </row>
    <row r="452" ht="46.5" customHeight="1">
      <c r="A452" s="25" t="n"/>
      <c r="B452" s="25" t="n"/>
      <c r="C452" s="25" t="n"/>
      <c r="D452" s="25" t="n"/>
      <c r="E452" s="25" t="n"/>
      <c r="F452" s="25" t="n"/>
      <c r="G452" s="25" t="n"/>
      <c r="H452" s="25" t="n"/>
      <c r="I452" s="25" t="n"/>
      <c r="J452" s="25" t="n"/>
      <c r="K452" s="37" t="n"/>
      <c r="L452" s="37" t="n"/>
      <c r="M452" s="37" t="n"/>
      <c r="N452" s="10">
        <f>G452*2400+K452+L452+M452</f>
        <v/>
      </c>
      <c r="O452" s="10">
        <f>(K452+M452)/G452</f>
        <v/>
      </c>
      <c r="P452" s="10">
        <f>L452/G452</f>
        <v/>
      </c>
      <c r="Q452" s="10">
        <f>N452*D452/1000</f>
        <v/>
      </c>
      <c r="R452" s="11">
        <f>K452*D452/1000</f>
        <v/>
      </c>
      <c r="S452" s="11">
        <f>L452*D452/1000</f>
        <v/>
      </c>
    </row>
    <row r="453" ht="46.5" customHeight="1">
      <c r="A453" s="25" t="n"/>
      <c r="B453" s="25" t="n"/>
      <c r="C453" s="25" t="n"/>
      <c r="D453" s="25" t="n"/>
      <c r="E453" s="25" t="n"/>
      <c r="F453" s="25" t="n"/>
      <c r="G453" s="25" t="n"/>
      <c r="H453" s="25" t="n"/>
      <c r="I453" s="25" t="n"/>
      <c r="J453" s="25" t="n"/>
      <c r="K453" s="37" t="n"/>
      <c r="L453" s="37" t="n"/>
      <c r="M453" s="37" t="n"/>
      <c r="N453" s="10">
        <f>G453*2400+K453+L453+M453</f>
        <v/>
      </c>
      <c r="O453" s="10">
        <f>(K453+M453)/G453</f>
        <v/>
      </c>
      <c r="P453" s="10">
        <f>L453/G453</f>
        <v/>
      </c>
      <c r="Q453" s="10">
        <f>N453*D453/1000</f>
        <v/>
      </c>
      <c r="R453" s="11">
        <f>K453*D453/1000</f>
        <v/>
      </c>
      <c r="S453" s="11">
        <f>L453*D453/1000</f>
        <v/>
      </c>
    </row>
    <row r="454" ht="46.5" customHeight="1">
      <c r="A454" s="25" t="n"/>
      <c r="B454" s="25" t="n"/>
      <c r="C454" s="25" t="n"/>
      <c r="D454" s="25" t="n"/>
      <c r="E454" s="25" t="n"/>
      <c r="F454" s="25" t="n"/>
      <c r="G454" s="25" t="n"/>
      <c r="H454" s="25" t="n"/>
      <c r="I454" s="25" t="n"/>
      <c r="J454" s="25" t="n"/>
      <c r="K454" s="37" t="n"/>
      <c r="L454" s="37" t="n"/>
      <c r="M454" s="37" t="n"/>
      <c r="N454" s="10">
        <f>G454*2400+K454+L454+M454</f>
        <v/>
      </c>
      <c r="O454" s="10">
        <f>(K454+M454)/G454</f>
        <v/>
      </c>
      <c r="P454" s="10">
        <f>L454/G454</f>
        <v/>
      </c>
      <c r="Q454" s="10">
        <f>N454*D454/1000</f>
        <v/>
      </c>
      <c r="R454" s="11">
        <f>K454*D454/1000</f>
        <v/>
      </c>
      <c r="S454" s="11">
        <f>L454*D454/1000</f>
        <v/>
      </c>
    </row>
    <row r="455" ht="46.5" customHeight="1">
      <c r="A455" s="25" t="n"/>
      <c r="B455" s="25" t="n"/>
      <c r="C455" s="25" t="n"/>
      <c r="D455" s="25" t="n"/>
      <c r="E455" s="25" t="n"/>
      <c r="F455" s="25" t="n"/>
      <c r="G455" s="25" t="n"/>
      <c r="H455" s="25" t="n"/>
      <c r="I455" s="25" t="n"/>
      <c r="J455" s="25" t="n"/>
      <c r="K455" s="37" t="n"/>
      <c r="L455" s="37" t="n"/>
      <c r="M455" s="37" t="n"/>
      <c r="N455" s="10">
        <f>G455*2400+K455+L455+M455</f>
        <v/>
      </c>
      <c r="O455" s="10">
        <f>(K455+M455)/G455</f>
        <v/>
      </c>
      <c r="P455" s="10">
        <f>L455/G455</f>
        <v/>
      </c>
      <c r="Q455" s="10">
        <f>N455*D455/1000</f>
        <v/>
      </c>
      <c r="R455" s="11">
        <f>K455*D455/1000</f>
        <v/>
      </c>
      <c r="S455" s="11">
        <f>L455*D455/1000</f>
        <v/>
      </c>
    </row>
    <row r="456" ht="46.5" customHeight="1">
      <c r="A456" s="25" t="n"/>
      <c r="B456" s="25" t="n"/>
      <c r="C456" s="25" t="n"/>
      <c r="D456" s="25" t="n"/>
      <c r="E456" s="25" t="n"/>
      <c r="F456" s="25" t="n"/>
      <c r="G456" s="25" t="n"/>
      <c r="H456" s="25" t="n"/>
      <c r="I456" s="25" t="n"/>
      <c r="J456" s="25" t="n"/>
      <c r="K456" s="37" t="n"/>
      <c r="L456" s="37" t="n"/>
      <c r="M456" s="37" t="n"/>
      <c r="N456" s="10">
        <f>G456*2400+K456+L456+M456</f>
        <v/>
      </c>
      <c r="O456" s="10">
        <f>(K456+M456)/G456</f>
        <v/>
      </c>
      <c r="P456" s="10">
        <f>L456/G456</f>
        <v/>
      </c>
      <c r="Q456" s="10">
        <f>N456*D456/1000</f>
        <v/>
      </c>
      <c r="R456" s="11">
        <f>K456*D456/1000</f>
        <v/>
      </c>
      <c r="S456" s="11">
        <f>L456*D456/1000</f>
        <v/>
      </c>
    </row>
    <row r="457" ht="46.5" customHeight="1">
      <c r="A457" s="25" t="n"/>
      <c r="B457" s="25" t="n"/>
      <c r="C457" s="25" t="n"/>
      <c r="D457" s="25" t="n"/>
      <c r="E457" s="25" t="n"/>
      <c r="F457" s="25" t="n"/>
      <c r="G457" s="25" t="n"/>
      <c r="H457" s="25" t="n"/>
      <c r="I457" s="25" t="n"/>
      <c r="J457" s="25" t="n"/>
      <c r="K457" s="37" t="n"/>
      <c r="L457" s="37" t="n"/>
      <c r="M457" s="37" t="n"/>
      <c r="N457" s="10">
        <f>G457*2400+K457+L457+M457</f>
        <v/>
      </c>
      <c r="O457" s="10">
        <f>(K457+M457)/G457</f>
        <v/>
      </c>
      <c r="P457" s="10">
        <f>L457/G457</f>
        <v/>
      </c>
      <c r="Q457" s="10">
        <f>N457*D457/1000</f>
        <v/>
      </c>
      <c r="R457" s="11">
        <f>K457*D457/1000</f>
        <v/>
      </c>
      <c r="S457" s="11">
        <f>L457*D457/1000</f>
        <v/>
      </c>
    </row>
    <row r="458" ht="46.5" customHeight="1">
      <c r="A458" s="25" t="n"/>
      <c r="B458" s="25" t="n"/>
      <c r="C458" s="25" t="n"/>
      <c r="D458" s="25" t="n"/>
      <c r="E458" s="25" t="n"/>
      <c r="F458" s="25" t="n"/>
      <c r="G458" s="25" t="n"/>
      <c r="H458" s="25" t="n"/>
      <c r="I458" s="25" t="n"/>
      <c r="J458" s="25" t="n"/>
      <c r="K458" s="37" t="n"/>
      <c r="L458" s="37" t="n"/>
      <c r="M458" s="37" t="n"/>
      <c r="N458" s="10">
        <f>G458*2400+K458+L458+M458</f>
        <v/>
      </c>
      <c r="O458" s="10">
        <f>(K458+M458)/G458</f>
        <v/>
      </c>
      <c r="P458" s="10">
        <f>L458/G458</f>
        <v/>
      </c>
      <c r="Q458" s="10">
        <f>N458*D458/1000</f>
        <v/>
      </c>
      <c r="R458" s="11">
        <f>K458*D458/1000</f>
        <v/>
      </c>
      <c r="S458" s="11">
        <f>L458*D458/1000</f>
        <v/>
      </c>
    </row>
    <row r="459" ht="46.5" customHeight="1">
      <c r="A459" s="25" t="n"/>
      <c r="B459" s="25" t="n"/>
      <c r="C459" s="25" t="n"/>
      <c r="D459" s="25" t="n"/>
      <c r="E459" s="25" t="n"/>
      <c r="F459" s="25" t="n"/>
      <c r="G459" s="25" t="n"/>
      <c r="H459" s="25" t="n"/>
      <c r="I459" s="25" t="n"/>
      <c r="J459" s="25" t="n"/>
      <c r="K459" s="37" t="n"/>
      <c r="L459" s="37" t="n"/>
      <c r="M459" s="37" t="n"/>
      <c r="N459" s="10">
        <f>G459*2400+K459+L459+M459</f>
        <v/>
      </c>
      <c r="O459" s="10">
        <f>(K459+M459)/G459</f>
        <v/>
      </c>
      <c r="P459" s="10">
        <f>L459/G459</f>
        <v/>
      </c>
      <c r="Q459" s="10">
        <f>N459*D459/1000</f>
        <v/>
      </c>
      <c r="R459" s="11">
        <f>K459*D459/1000</f>
        <v/>
      </c>
      <c r="S459" s="11">
        <f>L459*D459/1000</f>
        <v/>
      </c>
    </row>
    <row r="460" ht="46.5" customHeight="1">
      <c r="A460" s="25" t="n"/>
      <c r="B460" s="25" t="n"/>
      <c r="C460" s="25" t="n"/>
      <c r="D460" s="25" t="n"/>
      <c r="E460" s="25" t="n"/>
      <c r="F460" s="25" t="n"/>
      <c r="G460" s="25" t="n"/>
      <c r="H460" s="25" t="n"/>
      <c r="I460" s="25" t="n"/>
      <c r="J460" s="25" t="n"/>
      <c r="K460" s="37" t="n"/>
      <c r="L460" s="37" t="n"/>
      <c r="M460" s="37" t="n"/>
      <c r="N460" s="10">
        <f>G460*2400+K460+L460+M460</f>
        <v/>
      </c>
      <c r="O460" s="10">
        <f>(K460+M460)/G460</f>
        <v/>
      </c>
      <c r="P460" s="10">
        <f>L460/G460</f>
        <v/>
      </c>
      <c r="Q460" s="10">
        <f>N460*D460/1000</f>
        <v/>
      </c>
      <c r="R460" s="11">
        <f>K460*D460/1000</f>
        <v/>
      </c>
      <c r="S460" s="11">
        <f>L460*D460/1000</f>
        <v/>
      </c>
    </row>
    <row r="461" ht="46.5" customHeight="1">
      <c r="A461" s="25" t="n"/>
      <c r="B461" s="25" t="n"/>
      <c r="C461" s="25" t="n"/>
      <c r="D461" s="25" t="n"/>
      <c r="E461" s="25" t="n"/>
      <c r="F461" s="25" t="n"/>
      <c r="G461" s="25" t="n"/>
      <c r="H461" s="25" t="n"/>
      <c r="I461" s="25" t="n"/>
      <c r="J461" s="25" t="n"/>
      <c r="K461" s="37" t="n"/>
      <c r="L461" s="37" t="n"/>
      <c r="M461" s="37" t="n"/>
      <c r="N461" s="10">
        <f>G461*2400+K461+L461+M461</f>
        <v/>
      </c>
      <c r="O461" s="10">
        <f>(K461+M461)/G461</f>
        <v/>
      </c>
      <c r="P461" s="10">
        <f>L461/G461</f>
        <v/>
      </c>
      <c r="Q461" s="10">
        <f>N461*D461/1000</f>
        <v/>
      </c>
      <c r="R461" s="11">
        <f>K461*D461/1000</f>
        <v/>
      </c>
      <c r="S461" s="11">
        <f>L461*D461/1000</f>
        <v/>
      </c>
    </row>
    <row r="462" ht="46.5" customHeight="1">
      <c r="A462" s="25" t="n"/>
      <c r="B462" s="25" t="n"/>
      <c r="C462" s="25" t="n"/>
      <c r="D462" s="25" t="n"/>
      <c r="E462" s="25" t="n"/>
      <c r="F462" s="25" t="n"/>
      <c r="G462" s="25" t="n"/>
      <c r="H462" s="25" t="n"/>
      <c r="I462" s="25" t="n"/>
      <c r="J462" s="25" t="n"/>
      <c r="K462" s="37" t="n"/>
      <c r="L462" s="37" t="n"/>
      <c r="M462" s="37" t="n"/>
      <c r="N462" s="10">
        <f>G462*2400+K462+L462+M462</f>
        <v/>
      </c>
      <c r="O462" s="10">
        <f>(K462+M462)/G462</f>
        <v/>
      </c>
      <c r="P462" s="10">
        <f>L462/G462</f>
        <v/>
      </c>
      <c r="Q462" s="10">
        <f>N462*D462/1000</f>
        <v/>
      </c>
      <c r="R462" s="11">
        <f>K462*D462/1000</f>
        <v/>
      </c>
      <c r="S462" s="11">
        <f>L462*D462/1000</f>
        <v/>
      </c>
    </row>
    <row r="463" ht="46.5" customHeight="1">
      <c r="A463" s="25" t="n"/>
      <c r="B463" s="25" t="n"/>
      <c r="C463" s="25" t="n"/>
      <c r="D463" s="25" t="n"/>
      <c r="E463" s="25" t="n"/>
      <c r="F463" s="25" t="n"/>
      <c r="G463" s="25" t="n"/>
      <c r="H463" s="25" t="n"/>
      <c r="I463" s="25" t="n"/>
      <c r="J463" s="25" t="n"/>
      <c r="K463" s="37" t="n"/>
      <c r="L463" s="37" t="n"/>
      <c r="M463" s="37" t="n"/>
      <c r="N463" s="10">
        <f>G463*2400+K463+L463+M463</f>
        <v/>
      </c>
      <c r="O463" s="10">
        <f>(K463+M463)/G463</f>
        <v/>
      </c>
      <c r="P463" s="10">
        <f>L463/G463</f>
        <v/>
      </c>
      <c r="Q463" s="10">
        <f>N463*D463/1000</f>
        <v/>
      </c>
      <c r="R463" s="11">
        <f>K463*D463/1000</f>
        <v/>
      </c>
      <c r="S463" s="11">
        <f>L463*D463/1000</f>
        <v/>
      </c>
    </row>
    <row r="464" ht="46.5" customHeight="1">
      <c r="A464" s="25" t="n"/>
      <c r="B464" s="25" t="n"/>
      <c r="C464" s="25" t="n"/>
      <c r="D464" s="25" t="n"/>
      <c r="E464" s="25" t="n"/>
      <c r="F464" s="25" t="n"/>
      <c r="G464" s="25" t="n"/>
      <c r="H464" s="25" t="n"/>
      <c r="I464" s="25" t="n"/>
      <c r="J464" s="25" t="n"/>
      <c r="K464" s="37" t="n"/>
      <c r="L464" s="37" t="n"/>
      <c r="M464" s="37" t="n"/>
      <c r="N464" s="10">
        <f>G464*2400+K464+L464+M464</f>
        <v/>
      </c>
      <c r="O464" s="10">
        <f>(K464+M464)/G464</f>
        <v/>
      </c>
      <c r="P464" s="10">
        <f>L464/G464</f>
        <v/>
      </c>
      <c r="Q464" s="10">
        <f>N464*D464/1000</f>
        <v/>
      </c>
      <c r="R464" s="11">
        <f>K464*D464/1000</f>
        <v/>
      </c>
      <c r="S464" s="11">
        <f>L464*D464/1000</f>
        <v/>
      </c>
    </row>
    <row r="465" ht="46.5" customHeight="1">
      <c r="A465" s="25" t="n"/>
      <c r="B465" s="25" t="n"/>
      <c r="C465" s="25" t="n"/>
      <c r="D465" s="25" t="n"/>
      <c r="E465" s="25" t="n"/>
      <c r="F465" s="25" t="n"/>
      <c r="G465" s="25" t="n"/>
      <c r="H465" s="25" t="n"/>
      <c r="I465" s="25" t="n"/>
      <c r="J465" s="25" t="n"/>
      <c r="K465" s="37" t="n"/>
      <c r="L465" s="37" t="n"/>
      <c r="M465" s="37" t="n"/>
      <c r="N465" s="10">
        <f>G465*2400+K465+L465+M465</f>
        <v/>
      </c>
      <c r="O465" s="10">
        <f>(K465+M465)/G465</f>
        <v/>
      </c>
      <c r="P465" s="10">
        <f>L465/G465</f>
        <v/>
      </c>
      <c r="Q465" s="10">
        <f>N465*D465/1000</f>
        <v/>
      </c>
      <c r="R465" s="11">
        <f>K465*D465/1000</f>
        <v/>
      </c>
      <c r="S465" s="11">
        <f>L465*D465/1000</f>
        <v/>
      </c>
    </row>
    <row r="466" ht="46.5" customHeight="1">
      <c r="A466" s="25" t="n"/>
      <c r="B466" s="25" t="n"/>
      <c r="C466" s="25" t="n"/>
      <c r="D466" s="25" t="n"/>
      <c r="E466" s="25" t="n"/>
      <c r="F466" s="25" t="n"/>
      <c r="G466" s="25" t="n"/>
      <c r="H466" s="25" t="n"/>
      <c r="I466" s="25" t="n"/>
      <c r="J466" s="25" t="n"/>
      <c r="K466" s="37" t="n"/>
      <c r="L466" s="37" t="n"/>
      <c r="M466" s="37" t="n"/>
      <c r="N466" s="10">
        <f>G466*2400+K466+L466+M466</f>
        <v/>
      </c>
      <c r="O466" s="10">
        <f>(K466+M466)/G466</f>
        <v/>
      </c>
      <c r="P466" s="10">
        <f>L466/G466</f>
        <v/>
      </c>
      <c r="Q466" s="10">
        <f>N466*D466/1000</f>
        <v/>
      </c>
      <c r="R466" s="11">
        <f>K466*D466/1000</f>
        <v/>
      </c>
      <c r="S466" s="11">
        <f>L466*D466/1000</f>
        <v/>
      </c>
    </row>
    <row r="467" ht="46.5" customHeight="1">
      <c r="A467" s="25" t="n"/>
      <c r="B467" s="25" t="n"/>
      <c r="C467" s="25" t="n"/>
      <c r="D467" s="25" t="n"/>
      <c r="E467" s="25" t="n"/>
      <c r="F467" s="25" t="n"/>
      <c r="G467" s="25" t="n"/>
      <c r="H467" s="25" t="n"/>
      <c r="I467" s="25" t="n"/>
      <c r="J467" s="25" t="n"/>
      <c r="K467" s="37" t="n"/>
      <c r="L467" s="37" t="n"/>
      <c r="M467" s="37" t="n"/>
      <c r="N467" s="10">
        <f>G467*2400+K467+L467+M467</f>
        <v/>
      </c>
      <c r="O467" s="10">
        <f>(K467+M467)/G467</f>
        <v/>
      </c>
      <c r="P467" s="10">
        <f>L467/G467</f>
        <v/>
      </c>
      <c r="Q467" s="10">
        <f>N467*D467/1000</f>
        <v/>
      </c>
      <c r="R467" s="11">
        <f>K467*D467/1000</f>
        <v/>
      </c>
      <c r="S467" s="11">
        <f>L467*D467/1000</f>
        <v/>
      </c>
    </row>
    <row r="468" ht="46.5" customHeight="1">
      <c r="A468" s="25" t="n"/>
      <c r="B468" s="25" t="n"/>
      <c r="C468" s="25" t="n"/>
      <c r="D468" s="25" t="n"/>
      <c r="E468" s="25" t="n"/>
      <c r="F468" s="25" t="n"/>
      <c r="G468" s="25" t="n"/>
      <c r="H468" s="25" t="n"/>
      <c r="I468" s="25" t="n"/>
      <c r="J468" s="25" t="n"/>
      <c r="K468" s="37" t="n"/>
      <c r="L468" s="37" t="n"/>
      <c r="M468" s="37" t="n"/>
      <c r="N468" s="10">
        <f>G468*2400+K468+L468+M468</f>
        <v/>
      </c>
      <c r="O468" s="10">
        <f>(K468+M468)/G468</f>
        <v/>
      </c>
      <c r="P468" s="10">
        <f>L468/G468</f>
        <v/>
      </c>
      <c r="Q468" s="10">
        <f>N468*D468/1000</f>
        <v/>
      </c>
      <c r="R468" s="11">
        <f>K468*D468/1000</f>
        <v/>
      </c>
      <c r="S468" s="11">
        <f>L468*D468/1000</f>
        <v/>
      </c>
    </row>
    <row r="469" ht="46.5" customHeight="1">
      <c r="A469" s="25" t="n"/>
      <c r="B469" s="25" t="n"/>
      <c r="C469" s="25" t="n"/>
      <c r="D469" s="25" t="n"/>
      <c r="E469" s="25" t="n"/>
      <c r="F469" s="25" t="n"/>
      <c r="G469" s="25" t="n"/>
      <c r="H469" s="25" t="n"/>
      <c r="I469" s="25" t="n"/>
      <c r="J469" s="25" t="n"/>
      <c r="K469" s="37" t="n"/>
      <c r="L469" s="37" t="n"/>
      <c r="M469" s="37" t="n"/>
      <c r="N469" s="10">
        <f>G469*2400+K469+L469+M469</f>
        <v/>
      </c>
      <c r="O469" s="10">
        <f>(K469+M469)/G469</f>
        <v/>
      </c>
      <c r="P469" s="10">
        <f>L469/G469</f>
        <v/>
      </c>
      <c r="Q469" s="10">
        <f>N469*D469/1000</f>
        <v/>
      </c>
      <c r="R469" s="11">
        <f>K469*D469/1000</f>
        <v/>
      </c>
      <c r="S469" s="11">
        <f>L469*D469/1000</f>
        <v/>
      </c>
    </row>
    <row r="470" ht="46.5" customHeight="1">
      <c r="A470" s="25" t="n"/>
      <c r="B470" s="25" t="n"/>
      <c r="C470" s="25" t="n"/>
      <c r="D470" s="25" t="n"/>
      <c r="E470" s="25" t="n"/>
      <c r="F470" s="25" t="n"/>
      <c r="G470" s="25" t="n"/>
      <c r="H470" s="25" t="n"/>
      <c r="I470" s="25" t="n"/>
      <c r="J470" s="25" t="n"/>
      <c r="K470" s="37" t="n"/>
      <c r="L470" s="37" t="n"/>
      <c r="M470" s="37" t="n"/>
      <c r="N470" s="10">
        <f>G470*2400+K470+L470+M470</f>
        <v/>
      </c>
      <c r="O470" s="10">
        <f>(K470+M470)/G470</f>
        <v/>
      </c>
      <c r="P470" s="10">
        <f>L470/G470</f>
        <v/>
      </c>
      <c r="Q470" s="10">
        <f>N470*D470/1000</f>
        <v/>
      </c>
      <c r="R470" s="11">
        <f>K470*D470/1000</f>
        <v/>
      </c>
      <c r="S470" s="11">
        <f>L470*D470/1000</f>
        <v/>
      </c>
    </row>
    <row r="471" ht="46.5" customHeight="1">
      <c r="A471" s="25" t="n"/>
      <c r="B471" s="25" t="n"/>
      <c r="C471" s="25" t="n"/>
      <c r="D471" s="25" t="n"/>
      <c r="E471" s="25" t="n"/>
      <c r="F471" s="25" t="n"/>
      <c r="G471" s="25" t="n"/>
      <c r="H471" s="25" t="n"/>
      <c r="I471" s="25" t="n"/>
      <c r="J471" s="25" t="n"/>
      <c r="K471" s="37" t="n"/>
      <c r="L471" s="37" t="n"/>
      <c r="M471" s="37" t="n"/>
      <c r="N471" s="10">
        <f>G471*2400+K471+L471+M471</f>
        <v/>
      </c>
      <c r="O471" s="10">
        <f>(K471+M471)/G471</f>
        <v/>
      </c>
      <c r="P471" s="10">
        <f>L471/G471</f>
        <v/>
      </c>
      <c r="Q471" s="10">
        <f>N471*D471/1000</f>
        <v/>
      </c>
      <c r="R471" s="11">
        <f>K471*D471/1000</f>
        <v/>
      </c>
      <c r="S471" s="11">
        <f>L471*D471/1000</f>
        <v/>
      </c>
    </row>
    <row r="472" ht="46.5" customHeight="1">
      <c r="A472" s="25" t="n"/>
      <c r="B472" s="25" t="n"/>
      <c r="C472" s="25" t="n"/>
      <c r="D472" s="25" t="n"/>
      <c r="E472" s="25" t="n"/>
      <c r="F472" s="25" t="n"/>
      <c r="G472" s="25" t="n"/>
      <c r="H472" s="25" t="n"/>
      <c r="I472" s="25" t="n"/>
      <c r="J472" s="25" t="n"/>
      <c r="K472" s="37" t="n"/>
      <c r="L472" s="37" t="n"/>
      <c r="M472" s="37" t="n"/>
      <c r="N472" s="10">
        <f>G472*2400+K472+L472+M472</f>
        <v/>
      </c>
      <c r="O472" s="10">
        <f>(K472+M472)/G472</f>
        <v/>
      </c>
      <c r="P472" s="10">
        <f>L472/G472</f>
        <v/>
      </c>
      <c r="Q472" s="10">
        <f>N472*D472/1000</f>
        <v/>
      </c>
      <c r="R472" s="11">
        <f>K472*D472/1000</f>
        <v/>
      </c>
      <c r="S472" s="11">
        <f>L472*D472/1000</f>
        <v/>
      </c>
    </row>
    <row r="473" ht="46.5" customHeight="1">
      <c r="A473" s="25" t="n"/>
      <c r="B473" s="25" t="n"/>
      <c r="C473" s="25" t="n"/>
      <c r="D473" s="25" t="n"/>
      <c r="E473" s="25" t="n"/>
      <c r="F473" s="25" t="n"/>
      <c r="G473" s="25" t="n"/>
      <c r="H473" s="25" t="n"/>
      <c r="I473" s="25" t="n"/>
      <c r="J473" s="25" t="n"/>
      <c r="K473" s="37" t="n"/>
      <c r="L473" s="37" t="n"/>
      <c r="M473" s="37" t="n"/>
      <c r="N473" s="10">
        <f>G473*2400+K473+L473+M473</f>
        <v/>
      </c>
      <c r="O473" s="10">
        <f>(K473+M473)/G473</f>
        <v/>
      </c>
      <c r="P473" s="10">
        <f>L473/G473</f>
        <v/>
      </c>
      <c r="Q473" s="10">
        <f>N473*D473/1000</f>
        <v/>
      </c>
      <c r="R473" s="11">
        <f>K473*D473/1000</f>
        <v/>
      </c>
      <c r="S473" s="11">
        <f>L473*D473/1000</f>
        <v/>
      </c>
    </row>
    <row r="474" ht="46.5" customHeight="1">
      <c r="A474" s="25" t="n"/>
      <c r="B474" s="25" t="n"/>
      <c r="C474" s="25" t="n"/>
      <c r="D474" s="25" t="n"/>
      <c r="E474" s="25" t="n"/>
      <c r="F474" s="25" t="n"/>
      <c r="G474" s="25" t="n"/>
      <c r="H474" s="25" t="n"/>
      <c r="I474" s="25" t="n"/>
      <c r="J474" s="25" t="n"/>
      <c r="K474" s="37" t="n"/>
      <c r="L474" s="37" t="n"/>
      <c r="M474" s="37" t="n"/>
      <c r="N474" s="10">
        <f>G474*2400+K474+L474+M474</f>
        <v/>
      </c>
      <c r="O474" s="10">
        <f>(K474+M474)/G474</f>
        <v/>
      </c>
      <c r="P474" s="10">
        <f>L474/G474</f>
        <v/>
      </c>
      <c r="Q474" s="10">
        <f>N474*D474/1000</f>
        <v/>
      </c>
      <c r="R474" s="11">
        <f>K474*D474/1000</f>
        <v/>
      </c>
      <c r="S474" s="11">
        <f>L474*D474/1000</f>
        <v/>
      </c>
    </row>
    <row r="475" ht="46.5" customHeight="1">
      <c r="A475" s="25" t="n"/>
      <c r="B475" s="25" t="n"/>
      <c r="C475" s="25" t="n"/>
      <c r="D475" s="25" t="n"/>
      <c r="E475" s="25" t="n"/>
      <c r="F475" s="25" t="n"/>
      <c r="G475" s="25" t="n"/>
      <c r="H475" s="25" t="n"/>
      <c r="I475" s="25" t="n"/>
      <c r="J475" s="25" t="n"/>
      <c r="K475" s="37" t="n"/>
      <c r="L475" s="37" t="n"/>
      <c r="M475" s="37" t="n"/>
      <c r="N475" s="10">
        <f>G475*2400+K475+L475+M475</f>
        <v/>
      </c>
      <c r="O475" s="10">
        <f>(K475+M475)/G475</f>
        <v/>
      </c>
      <c r="P475" s="10">
        <f>L475/G475</f>
        <v/>
      </c>
      <c r="Q475" s="10">
        <f>N475*D475/1000</f>
        <v/>
      </c>
      <c r="R475" s="11">
        <f>K475*D475/1000</f>
        <v/>
      </c>
      <c r="S475" s="11">
        <f>L475*D475/1000</f>
        <v/>
      </c>
    </row>
    <row r="476" ht="46.5" customHeight="1">
      <c r="A476" s="25" t="n"/>
      <c r="B476" s="25" t="n"/>
      <c r="C476" s="25" t="n"/>
      <c r="D476" s="25" t="n"/>
      <c r="E476" s="25" t="n"/>
      <c r="F476" s="25" t="n"/>
      <c r="G476" s="25" t="n"/>
      <c r="H476" s="25" t="n"/>
      <c r="I476" s="25" t="n"/>
      <c r="J476" s="25" t="n"/>
      <c r="K476" s="37" t="n"/>
      <c r="L476" s="37" t="n"/>
      <c r="M476" s="37" t="n"/>
      <c r="N476" s="10">
        <f>G476*2400+K476+L476+M476</f>
        <v/>
      </c>
      <c r="O476" s="10">
        <f>(K476+M476)/G476</f>
        <v/>
      </c>
      <c r="P476" s="10">
        <f>L476/G476</f>
        <v/>
      </c>
      <c r="Q476" s="10">
        <f>N476*D476/1000</f>
        <v/>
      </c>
      <c r="R476" s="11">
        <f>K476*D476/1000</f>
        <v/>
      </c>
      <c r="S476" s="11">
        <f>L476*D476/1000</f>
        <v/>
      </c>
    </row>
    <row r="477" ht="46.5" customHeight="1">
      <c r="A477" s="25" t="n"/>
      <c r="B477" s="25" t="n"/>
      <c r="C477" s="25" t="n"/>
      <c r="D477" s="25" t="n"/>
      <c r="E477" s="25" t="n"/>
      <c r="F477" s="25" t="n"/>
      <c r="G477" s="25" t="n"/>
      <c r="H477" s="25" t="n"/>
      <c r="I477" s="25" t="n"/>
      <c r="J477" s="25" t="n"/>
      <c r="K477" s="37" t="n"/>
      <c r="L477" s="37" t="n"/>
      <c r="M477" s="37" t="n"/>
      <c r="N477" s="10">
        <f>G477*2400+K477+L477+M477</f>
        <v/>
      </c>
      <c r="O477" s="10">
        <f>(K477+M477)/G477</f>
        <v/>
      </c>
      <c r="P477" s="10">
        <f>L477/G477</f>
        <v/>
      </c>
      <c r="Q477" s="10">
        <f>N477*D477/1000</f>
        <v/>
      </c>
      <c r="R477" s="11">
        <f>K477*D477/1000</f>
        <v/>
      </c>
      <c r="S477" s="11">
        <f>L477*D477/1000</f>
        <v/>
      </c>
    </row>
    <row r="478" ht="46.5" customHeight="1">
      <c r="A478" s="25" t="n"/>
      <c r="B478" s="25" t="n"/>
      <c r="C478" s="25" t="n"/>
      <c r="D478" s="25" t="n"/>
      <c r="E478" s="25" t="n"/>
      <c r="F478" s="25" t="n"/>
      <c r="G478" s="25" t="n"/>
      <c r="H478" s="25" t="n"/>
      <c r="I478" s="25" t="n"/>
      <c r="J478" s="25" t="n"/>
      <c r="K478" s="37" t="n"/>
      <c r="L478" s="37" t="n"/>
      <c r="M478" s="37" t="n"/>
      <c r="N478" s="10">
        <f>G478*2400+K478+L478+M478</f>
        <v/>
      </c>
      <c r="O478" s="10">
        <f>(K478+M478)/G478</f>
        <v/>
      </c>
      <c r="P478" s="10">
        <f>L478/G478</f>
        <v/>
      </c>
      <c r="Q478" s="10">
        <f>N478*D478/1000</f>
        <v/>
      </c>
      <c r="R478" s="11">
        <f>K478*D478/1000</f>
        <v/>
      </c>
      <c r="S478" s="11">
        <f>L478*D478/1000</f>
        <v/>
      </c>
    </row>
    <row r="479" ht="46.5" customHeight="1">
      <c r="A479" s="25" t="n"/>
      <c r="B479" s="25" t="n"/>
      <c r="C479" s="25" t="n"/>
      <c r="D479" s="25" t="n"/>
      <c r="E479" s="25" t="n"/>
      <c r="F479" s="25" t="n"/>
      <c r="G479" s="25" t="n"/>
      <c r="H479" s="25" t="n"/>
      <c r="I479" s="25" t="n"/>
      <c r="J479" s="25" t="n"/>
      <c r="K479" s="37" t="n"/>
      <c r="L479" s="37" t="n"/>
      <c r="M479" s="37" t="n"/>
      <c r="N479" s="10">
        <f>G479*2400+K479+L479+M479</f>
        <v/>
      </c>
      <c r="O479" s="10">
        <f>(K479+M479)/G479</f>
        <v/>
      </c>
      <c r="P479" s="10">
        <f>L479/G479</f>
        <v/>
      </c>
      <c r="Q479" s="10">
        <f>N479*D479/1000</f>
        <v/>
      </c>
      <c r="R479" s="11">
        <f>K479*D479/1000</f>
        <v/>
      </c>
      <c r="S479" s="11">
        <f>L479*D479/1000</f>
        <v/>
      </c>
    </row>
    <row r="480" ht="46.5" customHeight="1">
      <c r="A480" s="25" t="n"/>
      <c r="B480" s="25" t="n"/>
      <c r="C480" s="25" t="n"/>
      <c r="D480" s="25" t="n"/>
      <c r="E480" s="25" t="n"/>
      <c r="F480" s="25" t="n"/>
      <c r="G480" s="25" t="n"/>
      <c r="H480" s="25" t="n"/>
      <c r="I480" s="25" t="n"/>
      <c r="J480" s="25" t="n"/>
      <c r="K480" s="37" t="n"/>
      <c r="L480" s="37" t="n"/>
      <c r="M480" s="37" t="n"/>
      <c r="N480" s="10">
        <f>G480*2400+K480+L480+M480</f>
        <v/>
      </c>
      <c r="O480" s="10">
        <f>(K480+M480)/G480</f>
        <v/>
      </c>
      <c r="P480" s="10">
        <f>L480/G480</f>
        <v/>
      </c>
      <c r="Q480" s="10">
        <f>N480*D480/1000</f>
        <v/>
      </c>
      <c r="R480" s="11">
        <f>K480*D480/1000</f>
        <v/>
      </c>
      <c r="S480" s="11">
        <f>L480*D480/1000</f>
        <v/>
      </c>
    </row>
    <row r="481" ht="46.5" customHeight="1">
      <c r="A481" s="25" t="n"/>
      <c r="B481" s="25" t="n"/>
      <c r="C481" s="25" t="n"/>
      <c r="D481" s="25" t="n"/>
      <c r="E481" s="25" t="n"/>
      <c r="F481" s="25" t="n"/>
      <c r="G481" s="25" t="n"/>
      <c r="H481" s="25" t="n"/>
      <c r="I481" s="25" t="n"/>
      <c r="J481" s="25" t="n"/>
      <c r="K481" s="37" t="n"/>
      <c r="L481" s="37" t="n"/>
      <c r="M481" s="37" t="n"/>
      <c r="N481" s="10">
        <f>G481*2400+K481+L481+M481</f>
        <v/>
      </c>
      <c r="O481" s="10">
        <f>(K481+M481)/G481</f>
        <v/>
      </c>
      <c r="P481" s="10">
        <f>L481/G481</f>
        <v/>
      </c>
      <c r="Q481" s="10">
        <f>N481*D481/1000</f>
        <v/>
      </c>
      <c r="R481" s="11">
        <f>K481*D481/1000</f>
        <v/>
      </c>
      <c r="S481" s="11">
        <f>L481*D481/1000</f>
        <v/>
      </c>
    </row>
    <row r="482" ht="46.5" customHeight="1">
      <c r="A482" s="25" t="n"/>
      <c r="B482" s="25" t="n"/>
      <c r="C482" s="25" t="n"/>
      <c r="D482" s="25" t="n"/>
      <c r="E482" s="25" t="n"/>
      <c r="F482" s="25" t="n"/>
      <c r="G482" s="25" t="n"/>
      <c r="H482" s="25" t="n"/>
      <c r="I482" s="25" t="n"/>
      <c r="J482" s="25" t="n"/>
      <c r="K482" s="37" t="n"/>
      <c r="L482" s="37" t="n"/>
      <c r="M482" s="37" t="n"/>
      <c r="N482" s="10">
        <f>G482*2400+K482+L482+M482</f>
        <v/>
      </c>
      <c r="O482" s="10">
        <f>(K482+M482)/G482</f>
        <v/>
      </c>
      <c r="P482" s="10">
        <f>L482/G482</f>
        <v/>
      </c>
      <c r="Q482" s="10">
        <f>N482*D482/1000</f>
        <v/>
      </c>
      <c r="R482" s="11">
        <f>K482*D482/1000</f>
        <v/>
      </c>
      <c r="S482" s="11">
        <f>L482*D482/1000</f>
        <v/>
      </c>
    </row>
    <row r="483" ht="46.5" customHeight="1">
      <c r="A483" s="25" t="n"/>
      <c r="B483" s="25" t="n"/>
      <c r="C483" s="25" t="n"/>
      <c r="D483" s="25" t="n"/>
      <c r="E483" s="25" t="n"/>
      <c r="F483" s="25" t="n"/>
      <c r="G483" s="25" t="n"/>
      <c r="H483" s="25" t="n"/>
      <c r="I483" s="25" t="n"/>
      <c r="J483" s="25" t="n"/>
      <c r="K483" s="37" t="n"/>
      <c r="L483" s="37" t="n"/>
      <c r="M483" s="37" t="n"/>
      <c r="N483" s="10">
        <f>G483*2400+K483+L483+M483</f>
        <v/>
      </c>
      <c r="O483" s="10">
        <f>(K483+M483)/G483</f>
        <v/>
      </c>
      <c r="P483" s="10">
        <f>L483/G483</f>
        <v/>
      </c>
      <c r="Q483" s="10">
        <f>N483*D483/1000</f>
        <v/>
      </c>
      <c r="R483" s="11">
        <f>K483*D483/1000</f>
        <v/>
      </c>
      <c r="S483" s="11">
        <f>L483*D483/1000</f>
        <v/>
      </c>
    </row>
    <row r="484" ht="46.5" customHeight="1">
      <c r="A484" s="25" t="n"/>
      <c r="B484" s="25" t="n"/>
      <c r="C484" s="25" t="n"/>
      <c r="D484" s="25" t="n"/>
      <c r="E484" s="25" t="n"/>
      <c r="F484" s="25" t="n"/>
      <c r="G484" s="25" t="n"/>
      <c r="H484" s="25" t="n"/>
      <c r="I484" s="25" t="n"/>
      <c r="J484" s="25" t="n"/>
      <c r="K484" s="37" t="n"/>
      <c r="L484" s="37" t="n"/>
      <c r="M484" s="37" t="n"/>
      <c r="N484" s="10">
        <f>G484*2400+K484+L484+M484</f>
        <v/>
      </c>
      <c r="O484" s="10">
        <f>(K484+M484)/G484</f>
        <v/>
      </c>
      <c r="P484" s="10">
        <f>L484/G484</f>
        <v/>
      </c>
      <c r="Q484" s="10">
        <f>N484*D484/1000</f>
        <v/>
      </c>
      <c r="R484" s="11">
        <f>K484*D484/1000</f>
        <v/>
      </c>
      <c r="S484" s="11">
        <f>L484*D484/1000</f>
        <v/>
      </c>
    </row>
    <row r="485" ht="46.5" customHeight="1">
      <c r="A485" s="25" t="n"/>
      <c r="B485" s="25" t="n"/>
      <c r="C485" s="25" t="n"/>
      <c r="D485" s="25" t="n"/>
      <c r="E485" s="25" t="n"/>
      <c r="F485" s="25" t="n"/>
      <c r="G485" s="25" t="n"/>
      <c r="H485" s="25" t="n"/>
      <c r="I485" s="25" t="n"/>
      <c r="J485" s="25" t="n"/>
      <c r="K485" s="37" t="n"/>
      <c r="L485" s="37" t="n"/>
      <c r="M485" s="37" t="n"/>
      <c r="N485" s="10">
        <f>G485*2400+K485+L485+M485</f>
        <v/>
      </c>
      <c r="O485" s="10">
        <f>(K485+M485)/G485</f>
        <v/>
      </c>
      <c r="P485" s="10">
        <f>L485/G485</f>
        <v/>
      </c>
      <c r="Q485" s="10">
        <f>N485*D485/1000</f>
        <v/>
      </c>
      <c r="R485" s="11">
        <f>K485*D485/1000</f>
        <v/>
      </c>
      <c r="S485" s="11">
        <f>L485*D485/1000</f>
        <v/>
      </c>
    </row>
    <row r="486" ht="46.5" customHeight="1">
      <c r="A486" s="25" t="n"/>
      <c r="B486" s="25" t="n"/>
      <c r="C486" s="25" t="n"/>
      <c r="D486" s="25" t="n"/>
      <c r="E486" s="25" t="n"/>
      <c r="F486" s="25" t="n"/>
      <c r="G486" s="25" t="n"/>
      <c r="H486" s="25" t="n"/>
      <c r="I486" s="25" t="n"/>
      <c r="J486" s="25" t="n"/>
      <c r="K486" s="37" t="n"/>
      <c r="L486" s="37" t="n"/>
      <c r="M486" s="37" t="n"/>
      <c r="N486" s="10">
        <f>G486*2400+K486+L486+M486</f>
        <v/>
      </c>
      <c r="O486" s="10">
        <f>(K486+M486)/G486</f>
        <v/>
      </c>
      <c r="P486" s="10">
        <f>L486/G486</f>
        <v/>
      </c>
      <c r="Q486" s="10">
        <f>N486*D486/1000</f>
        <v/>
      </c>
      <c r="R486" s="11">
        <f>K486*D486/1000</f>
        <v/>
      </c>
      <c r="S486" s="11">
        <f>L486*D486/1000</f>
        <v/>
      </c>
    </row>
    <row r="487" ht="46.5" customHeight="1">
      <c r="A487" s="25" t="n"/>
      <c r="B487" s="25" t="n"/>
      <c r="C487" s="25" t="n"/>
      <c r="D487" s="25" t="n"/>
      <c r="E487" s="25" t="n"/>
      <c r="F487" s="25" t="n"/>
      <c r="G487" s="25" t="n"/>
      <c r="H487" s="25" t="n"/>
      <c r="I487" s="25" t="n"/>
      <c r="J487" s="25" t="n"/>
      <c r="K487" s="37" t="n"/>
      <c r="L487" s="37" t="n"/>
      <c r="M487" s="37" t="n"/>
      <c r="N487" s="10">
        <f>G487*2400+K487+L487+M487</f>
        <v/>
      </c>
      <c r="O487" s="10">
        <f>(K487+M487)/G487</f>
        <v/>
      </c>
      <c r="P487" s="10">
        <f>L487/G487</f>
        <v/>
      </c>
      <c r="Q487" s="10">
        <f>N487*D487/1000</f>
        <v/>
      </c>
      <c r="R487" s="11">
        <f>K487*D487/1000</f>
        <v/>
      </c>
      <c r="S487" s="11">
        <f>L487*D487/1000</f>
        <v/>
      </c>
    </row>
    <row r="488" ht="46.5" customHeight="1">
      <c r="A488" s="25" t="n"/>
      <c r="B488" s="25" t="n"/>
      <c r="C488" s="25" t="n"/>
      <c r="D488" s="25" t="n"/>
      <c r="E488" s="25" t="n"/>
      <c r="F488" s="25" t="n"/>
      <c r="G488" s="25" t="n"/>
      <c r="H488" s="25" t="n"/>
      <c r="I488" s="25" t="n"/>
      <c r="J488" s="25" t="n"/>
      <c r="K488" s="37" t="n"/>
      <c r="L488" s="37" t="n"/>
      <c r="M488" s="37" t="n"/>
      <c r="N488" s="10">
        <f>G488*2400+K488+L488+M488</f>
        <v/>
      </c>
      <c r="O488" s="10">
        <f>(K488+M488)/G488</f>
        <v/>
      </c>
      <c r="P488" s="10">
        <f>L488/G488</f>
        <v/>
      </c>
      <c r="Q488" s="10">
        <f>N488*D488/1000</f>
        <v/>
      </c>
      <c r="R488" s="11">
        <f>K488*D488/1000</f>
        <v/>
      </c>
      <c r="S488" s="11">
        <f>L488*D488/1000</f>
        <v/>
      </c>
    </row>
    <row r="489" ht="46.5" customHeight="1">
      <c r="A489" s="25" t="n"/>
      <c r="B489" s="25" t="n"/>
      <c r="C489" s="25" t="n"/>
      <c r="D489" s="25" t="n"/>
      <c r="E489" s="25" t="n"/>
      <c r="F489" s="25" t="n"/>
      <c r="G489" s="25" t="n"/>
      <c r="H489" s="25" t="n"/>
      <c r="I489" s="25" t="n"/>
      <c r="J489" s="25" t="n"/>
      <c r="K489" s="37" t="n"/>
      <c r="L489" s="37" t="n"/>
      <c r="M489" s="37" t="n"/>
      <c r="N489" s="10">
        <f>G489*2400+K489+L489+M489</f>
        <v/>
      </c>
      <c r="O489" s="10">
        <f>(K489+M489)/G489</f>
        <v/>
      </c>
      <c r="P489" s="10">
        <f>L489/G489</f>
        <v/>
      </c>
      <c r="Q489" s="10">
        <f>N489*D489/1000</f>
        <v/>
      </c>
      <c r="R489" s="11">
        <f>K489*D489/1000</f>
        <v/>
      </c>
      <c r="S489" s="11">
        <f>L489*D489/1000</f>
        <v/>
      </c>
    </row>
    <row r="490" ht="46.5" customHeight="1">
      <c r="A490" s="25" t="n"/>
      <c r="B490" s="25" t="n"/>
      <c r="C490" s="25" t="n"/>
      <c r="D490" s="25" t="n"/>
      <c r="E490" s="25" t="n"/>
      <c r="F490" s="25" t="n"/>
      <c r="G490" s="25" t="n"/>
      <c r="H490" s="25" t="n"/>
      <c r="I490" s="25" t="n"/>
      <c r="J490" s="25" t="n"/>
      <c r="K490" s="37" t="n"/>
      <c r="L490" s="37" t="n"/>
      <c r="M490" s="37" t="n"/>
      <c r="N490" s="10">
        <f>G490*2400+K490+L490+M490</f>
        <v/>
      </c>
      <c r="O490" s="10">
        <f>(K490+M490)/G490</f>
        <v/>
      </c>
      <c r="P490" s="10">
        <f>L490/G490</f>
        <v/>
      </c>
      <c r="Q490" s="10">
        <f>N490*D490/1000</f>
        <v/>
      </c>
      <c r="R490" s="11">
        <f>K490*D490/1000</f>
        <v/>
      </c>
      <c r="S490" s="11">
        <f>L490*D490/1000</f>
        <v/>
      </c>
    </row>
    <row r="491" ht="46.5" customHeight="1">
      <c r="A491" s="25" t="n"/>
      <c r="B491" s="25" t="n"/>
      <c r="C491" s="25" t="n"/>
      <c r="D491" s="25" t="n"/>
      <c r="E491" s="25" t="n"/>
      <c r="F491" s="25" t="n"/>
      <c r="G491" s="25" t="n"/>
      <c r="H491" s="25" t="n"/>
      <c r="I491" s="25" t="n"/>
      <c r="J491" s="25" t="n"/>
      <c r="K491" s="37" t="n"/>
      <c r="L491" s="37" t="n"/>
      <c r="M491" s="37" t="n"/>
      <c r="N491" s="10">
        <f>G491*2400+K491+L491+M491</f>
        <v/>
      </c>
      <c r="O491" s="10">
        <f>(K491+M491)/G491</f>
        <v/>
      </c>
      <c r="P491" s="10">
        <f>L491/G491</f>
        <v/>
      </c>
      <c r="Q491" s="10">
        <f>N491*D491/1000</f>
        <v/>
      </c>
      <c r="R491" s="11">
        <f>K491*D491/1000</f>
        <v/>
      </c>
      <c r="S491" s="11">
        <f>L491*D491/1000</f>
        <v/>
      </c>
    </row>
    <row r="492" ht="46.5" customHeight="1">
      <c r="A492" s="25" t="n"/>
      <c r="B492" s="25" t="n"/>
      <c r="C492" s="25" t="n"/>
      <c r="D492" s="25" t="n"/>
      <c r="E492" s="25" t="n"/>
      <c r="F492" s="25" t="n"/>
      <c r="G492" s="25" t="n"/>
      <c r="H492" s="25" t="n"/>
      <c r="I492" s="25" t="n"/>
      <c r="J492" s="25" t="n"/>
      <c r="K492" s="37" t="n"/>
      <c r="L492" s="37" t="n"/>
      <c r="M492" s="37" t="n"/>
      <c r="N492" s="10">
        <f>G492*2400+K492+L492+M492</f>
        <v/>
      </c>
      <c r="O492" s="10">
        <f>(K492+M492)/G492</f>
        <v/>
      </c>
      <c r="P492" s="10">
        <f>L492/G492</f>
        <v/>
      </c>
      <c r="Q492" s="10">
        <f>N492*D492/1000</f>
        <v/>
      </c>
      <c r="R492" s="11">
        <f>K492*D492/1000</f>
        <v/>
      </c>
      <c r="S492" s="11">
        <f>L492*D492/1000</f>
        <v/>
      </c>
    </row>
    <row r="493" ht="46.5" customHeight="1">
      <c r="A493" s="25" t="n"/>
      <c r="B493" s="25" t="n"/>
      <c r="C493" s="25" t="n"/>
      <c r="D493" s="25" t="n"/>
      <c r="E493" s="25" t="n"/>
      <c r="F493" s="25" t="n"/>
      <c r="G493" s="25" t="n"/>
      <c r="H493" s="25" t="n"/>
      <c r="I493" s="25" t="n"/>
      <c r="J493" s="25" t="n"/>
      <c r="K493" s="37" t="n"/>
      <c r="L493" s="37" t="n"/>
      <c r="M493" s="37" t="n"/>
      <c r="N493" s="10">
        <f>G493*2400+K493+L493+M493</f>
        <v/>
      </c>
      <c r="O493" s="10">
        <f>(K493+M493)/G493</f>
        <v/>
      </c>
      <c r="P493" s="10">
        <f>L493/G493</f>
        <v/>
      </c>
      <c r="Q493" s="10">
        <f>N493*D493/1000</f>
        <v/>
      </c>
      <c r="R493" s="11">
        <f>K493*D493/1000</f>
        <v/>
      </c>
      <c r="S493" s="11">
        <f>L493*D493/1000</f>
        <v/>
      </c>
    </row>
    <row r="494" ht="46.5" customHeight="1">
      <c r="A494" s="25" t="n"/>
      <c r="B494" s="25" t="n"/>
      <c r="C494" s="25" t="n"/>
      <c r="D494" s="25" t="n"/>
      <c r="E494" s="25" t="n"/>
      <c r="F494" s="25" t="n"/>
      <c r="G494" s="25" t="n"/>
      <c r="H494" s="25" t="n"/>
      <c r="I494" s="25" t="n"/>
      <c r="J494" s="25" t="n"/>
      <c r="K494" s="37" t="n"/>
      <c r="L494" s="37" t="n"/>
      <c r="M494" s="37" t="n"/>
      <c r="N494" s="10">
        <f>G494*2400+K494+L494+M494</f>
        <v/>
      </c>
      <c r="O494" s="10">
        <f>(K494+M494)/G494</f>
        <v/>
      </c>
      <c r="P494" s="10">
        <f>L494/G494</f>
        <v/>
      </c>
      <c r="Q494" s="10">
        <f>N494*D494/1000</f>
        <v/>
      </c>
      <c r="R494" s="11">
        <f>K494*D494/1000</f>
        <v/>
      </c>
      <c r="S494" s="11">
        <f>L494*D494/1000</f>
        <v/>
      </c>
    </row>
    <row r="495" ht="46.5" customHeight="1">
      <c r="A495" s="25" t="n"/>
      <c r="B495" s="25" t="n"/>
      <c r="C495" s="25" t="n"/>
      <c r="D495" s="25" t="n"/>
      <c r="E495" s="25" t="n"/>
      <c r="F495" s="25" t="n"/>
      <c r="G495" s="25" t="n"/>
      <c r="H495" s="25" t="n"/>
      <c r="I495" s="25" t="n"/>
      <c r="J495" s="25" t="n"/>
      <c r="K495" s="37" t="n"/>
      <c r="L495" s="37" t="n"/>
      <c r="M495" s="37" t="n"/>
      <c r="N495" s="10">
        <f>G495*2400+K495+L495+M495</f>
        <v/>
      </c>
      <c r="O495" s="10">
        <f>(K495+M495)/G495</f>
        <v/>
      </c>
      <c r="P495" s="10">
        <f>L495/G495</f>
        <v/>
      </c>
      <c r="Q495" s="10">
        <f>N495*D495/1000</f>
        <v/>
      </c>
      <c r="R495" s="11">
        <f>K495*D495/1000</f>
        <v/>
      </c>
      <c r="S495" s="11">
        <f>L495*D495/1000</f>
        <v/>
      </c>
    </row>
    <row r="496" ht="46.5" customHeight="1">
      <c r="A496" s="25" t="n"/>
      <c r="B496" s="25" t="n"/>
      <c r="C496" s="25" t="n"/>
      <c r="D496" s="25" t="n"/>
      <c r="E496" s="25" t="n"/>
      <c r="F496" s="25" t="n"/>
      <c r="G496" s="25" t="n"/>
      <c r="H496" s="25" t="n"/>
      <c r="I496" s="25" t="n"/>
      <c r="J496" s="25" t="n"/>
      <c r="K496" s="37" t="n"/>
      <c r="L496" s="37" t="n"/>
      <c r="M496" s="37" t="n"/>
      <c r="N496" s="10">
        <f>G496*2400+K496+L496+M496</f>
        <v/>
      </c>
      <c r="O496" s="10">
        <f>(K496+M496)/G496</f>
        <v/>
      </c>
      <c r="P496" s="10">
        <f>L496/G496</f>
        <v/>
      </c>
      <c r="Q496" s="10">
        <f>N496*D496/1000</f>
        <v/>
      </c>
      <c r="R496" s="11">
        <f>K496*D496/1000</f>
        <v/>
      </c>
      <c r="S496" s="11">
        <f>L496*D496/1000</f>
        <v/>
      </c>
    </row>
    <row r="497" ht="46.5" customHeight="1">
      <c r="A497" s="25" t="n"/>
      <c r="B497" s="25" t="n"/>
      <c r="C497" s="25" t="n"/>
      <c r="D497" s="25" t="n"/>
      <c r="E497" s="25" t="n"/>
      <c r="F497" s="25" t="n"/>
      <c r="G497" s="25" t="n"/>
      <c r="H497" s="25" t="n"/>
      <c r="I497" s="25" t="n"/>
      <c r="J497" s="25" t="n"/>
      <c r="K497" s="37" t="n"/>
      <c r="L497" s="37" t="n"/>
      <c r="M497" s="37" t="n"/>
      <c r="N497" s="10">
        <f>G497*2400+K497+L497+M497</f>
        <v/>
      </c>
      <c r="O497" s="10">
        <f>(K497+M497)/G497</f>
        <v/>
      </c>
      <c r="P497" s="10">
        <f>L497/G497</f>
        <v/>
      </c>
      <c r="Q497" s="10">
        <f>N497*D497/1000</f>
        <v/>
      </c>
      <c r="R497" s="11">
        <f>K497*D497/1000</f>
        <v/>
      </c>
      <c r="S497" s="11">
        <f>L497*D497/1000</f>
        <v/>
      </c>
    </row>
    <row r="498" ht="46.5" customHeight="1">
      <c r="A498" s="25" t="n"/>
      <c r="B498" s="25" t="n"/>
      <c r="C498" s="25" t="n"/>
      <c r="D498" s="25" t="n"/>
      <c r="E498" s="25" t="n"/>
      <c r="F498" s="25" t="n"/>
      <c r="G498" s="25" t="n"/>
      <c r="H498" s="25" t="n"/>
      <c r="I498" s="25" t="n"/>
      <c r="J498" s="25" t="n"/>
      <c r="K498" s="37" t="n"/>
      <c r="L498" s="37" t="n"/>
      <c r="M498" s="37" t="n"/>
      <c r="N498" s="10">
        <f>G498*2400+K498+L498+M498</f>
        <v/>
      </c>
      <c r="O498" s="10">
        <f>(K498+M498)/G498</f>
        <v/>
      </c>
      <c r="P498" s="10">
        <f>L498/G498</f>
        <v/>
      </c>
      <c r="Q498" s="10">
        <f>N498*D498/1000</f>
        <v/>
      </c>
      <c r="R498" s="11">
        <f>K498*D498/1000</f>
        <v/>
      </c>
      <c r="S498" s="11">
        <f>L498*D498/1000</f>
        <v/>
      </c>
    </row>
    <row r="499" ht="46.5" customHeight="1">
      <c r="A499" s="25" t="n"/>
      <c r="B499" s="25" t="n"/>
      <c r="C499" s="25" t="n"/>
      <c r="D499" s="25" t="n"/>
      <c r="E499" s="25" t="n"/>
      <c r="F499" s="25" t="n"/>
      <c r="G499" s="25" t="n"/>
      <c r="H499" s="25" t="n"/>
      <c r="I499" s="25" t="n"/>
      <c r="J499" s="25" t="n"/>
      <c r="K499" s="37" t="n"/>
      <c r="L499" s="37" t="n"/>
      <c r="M499" s="37" t="n"/>
      <c r="N499" s="10">
        <f>G499*2400+K499+L499+M499</f>
        <v/>
      </c>
      <c r="O499" s="10">
        <f>(K499+M499)/G499</f>
        <v/>
      </c>
      <c r="P499" s="10">
        <f>L499/G499</f>
        <v/>
      </c>
      <c r="Q499" s="10">
        <f>N499*D499/1000</f>
        <v/>
      </c>
      <c r="R499" s="11">
        <f>K499*D499/1000</f>
        <v/>
      </c>
      <c r="S499" s="11">
        <f>L499*D499/1000</f>
        <v/>
      </c>
    </row>
    <row r="500" ht="46.5" customHeight="1">
      <c r="A500" s="25" t="n"/>
      <c r="B500" s="25" t="n"/>
      <c r="C500" s="25" t="n"/>
      <c r="D500" s="25" t="n"/>
      <c r="E500" s="25" t="n"/>
      <c r="F500" s="25" t="n"/>
      <c r="G500" s="25" t="n"/>
      <c r="H500" s="25" t="n"/>
      <c r="I500" s="25" t="n"/>
      <c r="J500" s="25" t="n"/>
      <c r="K500" s="37" t="n"/>
      <c r="L500" s="37" t="n"/>
      <c r="M500" s="37" t="n"/>
      <c r="N500" s="10">
        <f>G500*2400+K500+L500+M500</f>
        <v/>
      </c>
      <c r="O500" s="10">
        <f>(K500+M500)/G500</f>
        <v/>
      </c>
      <c r="P500" s="10">
        <f>L500/G500</f>
        <v/>
      </c>
      <c r="Q500" s="10">
        <f>N500*D500/1000</f>
        <v/>
      </c>
      <c r="R500" s="11">
        <f>K500*D500/1000</f>
        <v/>
      </c>
      <c r="S500" s="11">
        <f>L500*D500/1000</f>
        <v/>
      </c>
    </row>
    <row r="501" ht="46.5" customHeight="1">
      <c r="A501" s="25" t="n"/>
      <c r="B501" s="25" t="n"/>
      <c r="C501" s="25" t="n"/>
      <c r="D501" s="25" t="n"/>
      <c r="E501" s="25" t="n"/>
      <c r="F501" s="25" t="n"/>
      <c r="G501" s="25" t="n"/>
      <c r="H501" s="25" t="n"/>
      <c r="I501" s="25" t="n"/>
      <c r="J501" s="25" t="n"/>
      <c r="K501" s="37" t="n"/>
      <c r="L501" s="37" t="n"/>
      <c r="M501" s="37" t="n"/>
      <c r="N501" s="10">
        <f>G501*2400+K501+L501+M501</f>
        <v/>
      </c>
      <c r="O501" s="10">
        <f>(K501+M501)/G501</f>
        <v/>
      </c>
      <c r="P501" s="10">
        <f>L501/G501</f>
        <v/>
      </c>
      <c r="Q501" s="10">
        <f>N501*D501/1000</f>
        <v/>
      </c>
      <c r="R501" s="11">
        <f>K501*D501/1000</f>
        <v/>
      </c>
      <c r="S501" s="11">
        <f>L501*D501/1000</f>
        <v/>
      </c>
    </row>
    <row r="502" ht="46.5" customHeight="1">
      <c r="A502" s="25" t="n"/>
      <c r="B502" s="25" t="n"/>
      <c r="C502" s="25" t="n"/>
      <c r="D502" s="25" t="n"/>
      <c r="E502" s="25" t="n"/>
      <c r="F502" s="25" t="n"/>
      <c r="G502" s="25" t="n"/>
      <c r="H502" s="25" t="n"/>
      <c r="I502" s="25" t="n"/>
      <c r="J502" s="25" t="n"/>
      <c r="K502" s="37" t="n"/>
      <c r="L502" s="37" t="n"/>
      <c r="M502" s="37" t="n"/>
      <c r="N502" s="10">
        <f>G502*2400+K502+L502+M502</f>
        <v/>
      </c>
      <c r="O502" s="10">
        <f>(K502+M502)/G502</f>
        <v/>
      </c>
      <c r="P502" s="10">
        <f>L502/G502</f>
        <v/>
      </c>
      <c r="Q502" s="10">
        <f>N502*D502/1000</f>
        <v/>
      </c>
      <c r="R502" s="11">
        <f>K502*D502/1000</f>
        <v/>
      </c>
      <c r="S502" s="11">
        <f>L502*D502/1000</f>
        <v/>
      </c>
    </row>
    <row r="503" ht="46.5" customHeight="1">
      <c r="A503" s="25" t="n"/>
      <c r="B503" s="25" t="n"/>
      <c r="C503" s="25" t="n"/>
      <c r="D503" s="25" t="n"/>
      <c r="E503" s="25" t="n"/>
      <c r="F503" s="25" t="n"/>
      <c r="G503" s="25" t="n"/>
      <c r="H503" s="25" t="n"/>
      <c r="I503" s="25" t="n"/>
      <c r="J503" s="25" t="n"/>
      <c r="K503" s="37" t="n"/>
      <c r="L503" s="37" t="n"/>
      <c r="M503" s="37" t="n"/>
      <c r="N503" s="10">
        <f>G503*2400+K503+L503+M503</f>
        <v/>
      </c>
      <c r="O503" s="10">
        <f>(K503+M503)/G503</f>
        <v/>
      </c>
      <c r="P503" s="10">
        <f>L503/G503</f>
        <v/>
      </c>
      <c r="Q503" s="10">
        <f>N503*D503/1000</f>
        <v/>
      </c>
      <c r="R503" s="11">
        <f>K503*D503/1000</f>
        <v/>
      </c>
      <c r="S503" s="11">
        <f>L503*D503/1000</f>
        <v/>
      </c>
    </row>
    <row r="504" ht="46.5" customHeight="1">
      <c r="A504" s="25" t="n"/>
      <c r="B504" s="25" t="n"/>
      <c r="C504" s="25" t="n"/>
      <c r="D504" s="25" t="n"/>
      <c r="E504" s="25" t="n"/>
      <c r="F504" s="25" t="n"/>
      <c r="G504" s="25" t="n"/>
      <c r="H504" s="25" t="n"/>
      <c r="I504" s="25" t="n"/>
      <c r="J504" s="25" t="n"/>
      <c r="K504" s="37" t="n"/>
      <c r="L504" s="37" t="n"/>
      <c r="M504" s="37" t="n"/>
      <c r="N504" s="10">
        <f>G504*2400+K504+L504+M504</f>
        <v/>
      </c>
      <c r="O504" s="10">
        <f>(K504+M504)/G504</f>
        <v/>
      </c>
      <c r="P504" s="10">
        <f>L504/G504</f>
        <v/>
      </c>
      <c r="Q504" s="10">
        <f>N504*D504/1000</f>
        <v/>
      </c>
      <c r="R504" s="11">
        <f>K504*D504/1000</f>
        <v/>
      </c>
      <c r="S504" s="11">
        <f>L504*D504/1000</f>
        <v/>
      </c>
    </row>
    <row r="505" ht="46.5" customHeight="1">
      <c r="A505" s="25" t="n"/>
      <c r="B505" s="25" t="n"/>
      <c r="C505" s="25" t="n"/>
      <c r="D505" s="25" t="n"/>
      <c r="E505" s="25" t="n"/>
      <c r="F505" s="25" t="n"/>
      <c r="G505" s="25" t="n"/>
      <c r="H505" s="25" t="n"/>
      <c r="I505" s="25" t="n"/>
      <c r="J505" s="25" t="n"/>
      <c r="K505" s="37" t="n"/>
      <c r="L505" s="37" t="n"/>
      <c r="M505" s="37" t="n"/>
      <c r="N505" s="10">
        <f>G505*2400+K505+L505+M505</f>
        <v/>
      </c>
      <c r="O505" s="10">
        <f>(K505+M505)/G505</f>
        <v/>
      </c>
      <c r="P505" s="10">
        <f>L505/G505</f>
        <v/>
      </c>
      <c r="Q505" s="10">
        <f>N505*D505/1000</f>
        <v/>
      </c>
      <c r="R505" s="11">
        <f>K505*D505/1000</f>
        <v/>
      </c>
      <c r="S505" s="11">
        <f>L505*D505/1000</f>
        <v/>
      </c>
    </row>
    <row r="506" ht="46.5" customHeight="1">
      <c r="A506" s="25" t="n"/>
      <c r="B506" s="25" t="n"/>
      <c r="C506" s="25" t="n"/>
      <c r="D506" s="25" t="n"/>
      <c r="E506" s="25" t="n"/>
      <c r="F506" s="25" t="n"/>
      <c r="G506" s="25" t="n"/>
      <c r="H506" s="25" t="n"/>
      <c r="I506" s="25" t="n"/>
      <c r="J506" s="25" t="n"/>
      <c r="K506" s="37" t="n"/>
      <c r="L506" s="37" t="n"/>
      <c r="M506" s="37" t="n"/>
      <c r="N506" s="10">
        <f>G506*2400+K506+L506+M506</f>
        <v/>
      </c>
      <c r="O506" s="10">
        <f>(K506+M506)/G506</f>
        <v/>
      </c>
      <c r="P506" s="10">
        <f>L506/G506</f>
        <v/>
      </c>
      <c r="Q506" s="10">
        <f>N506*D506/1000</f>
        <v/>
      </c>
      <c r="R506" s="11">
        <f>K506*D506/1000</f>
        <v/>
      </c>
      <c r="S506" s="11">
        <f>L506*D506/1000</f>
        <v/>
      </c>
    </row>
    <row r="507" ht="46.5" customHeight="1">
      <c r="A507" s="25" t="n"/>
      <c r="B507" s="25" t="n"/>
      <c r="C507" s="25" t="n"/>
      <c r="D507" s="25" t="n"/>
      <c r="E507" s="25" t="n"/>
      <c r="F507" s="25" t="n"/>
      <c r="G507" s="25" t="n"/>
      <c r="H507" s="25" t="n"/>
      <c r="I507" s="25" t="n"/>
      <c r="J507" s="25" t="n"/>
      <c r="K507" s="37" t="n"/>
      <c r="L507" s="37" t="n"/>
      <c r="M507" s="37" t="n"/>
      <c r="N507" s="10">
        <f>G507*2400+K507+L507+M507</f>
        <v/>
      </c>
      <c r="O507" s="10">
        <f>(K507+M507)/G507</f>
        <v/>
      </c>
      <c r="P507" s="10">
        <f>L507/G507</f>
        <v/>
      </c>
      <c r="Q507" s="10">
        <f>N507*D507/1000</f>
        <v/>
      </c>
      <c r="R507" s="11">
        <f>K507*D507/1000</f>
        <v/>
      </c>
      <c r="S507" s="11">
        <f>L507*D507/1000</f>
        <v/>
      </c>
    </row>
    <row r="508" ht="46.5" customHeight="1">
      <c r="A508" s="25" t="n"/>
      <c r="B508" s="25" t="n"/>
      <c r="C508" s="25" t="n"/>
      <c r="D508" s="25" t="n"/>
      <c r="E508" s="25" t="n"/>
      <c r="F508" s="25" t="n"/>
      <c r="G508" s="25" t="n"/>
      <c r="H508" s="25" t="n"/>
      <c r="I508" s="25" t="n"/>
      <c r="J508" s="25" t="n"/>
      <c r="K508" s="37" t="n"/>
      <c r="L508" s="37" t="n"/>
      <c r="M508" s="37" t="n"/>
      <c r="N508" s="10">
        <f>G508*2400+K508+L508+M508</f>
        <v/>
      </c>
      <c r="O508" s="10">
        <f>(K508+M508)/G508</f>
        <v/>
      </c>
      <c r="P508" s="10">
        <f>L508/G508</f>
        <v/>
      </c>
      <c r="Q508" s="10">
        <f>N508*D508/1000</f>
        <v/>
      </c>
      <c r="R508" s="11">
        <f>K508*D508/1000</f>
        <v/>
      </c>
      <c r="S508" s="11">
        <f>L508*D508/1000</f>
        <v/>
      </c>
    </row>
    <row r="509" ht="46.5" customHeight="1">
      <c r="A509" s="25" t="n"/>
      <c r="B509" s="25" t="n"/>
      <c r="C509" s="25" t="n"/>
      <c r="D509" s="25" t="n"/>
      <c r="E509" s="25" t="n"/>
      <c r="F509" s="25" t="n"/>
      <c r="G509" s="25" t="n"/>
      <c r="H509" s="25" t="n"/>
      <c r="I509" s="25" t="n"/>
      <c r="J509" s="25" t="n"/>
      <c r="K509" s="37" t="n"/>
      <c r="L509" s="37" t="n"/>
      <c r="M509" s="37" t="n"/>
      <c r="N509" s="10">
        <f>G509*2400+K509+L509+M509</f>
        <v/>
      </c>
      <c r="O509" s="10">
        <f>(K509+M509)/G509</f>
        <v/>
      </c>
      <c r="P509" s="10">
        <f>L509/G509</f>
        <v/>
      </c>
      <c r="Q509" s="10">
        <f>N509*D509/1000</f>
        <v/>
      </c>
      <c r="R509" s="11">
        <f>K509*D509/1000</f>
        <v/>
      </c>
      <c r="S509" s="11">
        <f>L509*D509/1000</f>
        <v/>
      </c>
    </row>
    <row r="510" ht="46.5" customHeight="1">
      <c r="A510" s="25" t="n"/>
      <c r="B510" s="25" t="n"/>
      <c r="C510" s="25" t="n"/>
      <c r="D510" s="25" t="n"/>
      <c r="E510" s="25" t="n"/>
      <c r="F510" s="25" t="n"/>
      <c r="G510" s="25" t="n"/>
      <c r="H510" s="25" t="n"/>
      <c r="I510" s="25" t="n"/>
      <c r="J510" s="25" t="n"/>
      <c r="K510" s="37" t="n"/>
      <c r="L510" s="37" t="n"/>
      <c r="M510" s="37" t="n"/>
      <c r="N510" s="10">
        <f>G510*2400+K510+L510+M510</f>
        <v/>
      </c>
      <c r="O510" s="10">
        <f>(K510+M510)/G510</f>
        <v/>
      </c>
      <c r="P510" s="10">
        <f>L510/G510</f>
        <v/>
      </c>
      <c r="Q510" s="10">
        <f>N510*D510/1000</f>
        <v/>
      </c>
      <c r="R510" s="11">
        <f>K510*D510/1000</f>
        <v/>
      </c>
      <c r="S510" s="11">
        <f>L510*D510/1000</f>
        <v/>
      </c>
    </row>
    <row r="511" ht="46.5" customHeight="1">
      <c r="A511" s="25" t="n"/>
      <c r="B511" s="25" t="n"/>
      <c r="C511" s="25" t="n"/>
      <c r="D511" s="25" t="n"/>
      <c r="E511" s="25" t="n"/>
      <c r="F511" s="25" t="n"/>
      <c r="G511" s="25" t="n"/>
      <c r="H511" s="25" t="n"/>
      <c r="I511" s="25" t="n"/>
      <c r="J511" s="25" t="n"/>
      <c r="K511" s="37" t="n"/>
      <c r="L511" s="37" t="n"/>
      <c r="M511" s="37" t="n"/>
      <c r="N511" s="10">
        <f>G511*2400+K511+L511+M511</f>
        <v/>
      </c>
      <c r="O511" s="10">
        <f>(K511+M511)/G511</f>
        <v/>
      </c>
      <c r="P511" s="10">
        <f>L511/G511</f>
        <v/>
      </c>
      <c r="Q511" s="10">
        <f>N511*D511/1000</f>
        <v/>
      </c>
      <c r="R511" s="11">
        <f>K511*D511/1000</f>
        <v/>
      </c>
      <c r="S511" s="11">
        <f>L511*D511/1000</f>
        <v/>
      </c>
    </row>
    <row r="512" ht="46.5" customHeight="1">
      <c r="A512" s="25" t="n"/>
      <c r="B512" s="25" t="n"/>
      <c r="C512" s="25" t="n"/>
      <c r="D512" s="25" t="n"/>
      <c r="E512" s="25" t="n"/>
      <c r="F512" s="25" t="n"/>
      <c r="G512" s="25" t="n"/>
      <c r="H512" s="25" t="n"/>
      <c r="I512" s="25" t="n"/>
      <c r="J512" s="25" t="n"/>
      <c r="K512" s="37" t="n"/>
      <c r="L512" s="37" t="n"/>
      <c r="M512" s="37" t="n"/>
      <c r="N512" s="10">
        <f>G512*2400+K512+L512+M512</f>
        <v/>
      </c>
      <c r="O512" s="10">
        <f>(K512+M512)/G512</f>
        <v/>
      </c>
      <c r="P512" s="10">
        <f>L512/G512</f>
        <v/>
      </c>
      <c r="Q512" s="10">
        <f>N512*D512/1000</f>
        <v/>
      </c>
      <c r="R512" s="11">
        <f>K512*D512/1000</f>
        <v/>
      </c>
      <c r="S512" s="11">
        <f>L512*D512/1000</f>
        <v/>
      </c>
    </row>
    <row r="513" ht="46.5" customHeight="1">
      <c r="A513" s="25" t="n"/>
      <c r="B513" s="25" t="n"/>
      <c r="C513" s="25" t="n"/>
      <c r="D513" s="25" t="n"/>
      <c r="E513" s="25" t="n"/>
      <c r="F513" s="25" t="n"/>
      <c r="G513" s="25" t="n"/>
      <c r="H513" s="25" t="n"/>
      <c r="I513" s="25" t="n"/>
      <c r="J513" s="25" t="n"/>
      <c r="K513" s="37" t="n"/>
      <c r="L513" s="37" t="n"/>
      <c r="M513" s="37" t="n"/>
      <c r="N513" s="10">
        <f>G513*2400+K513+L513+M513</f>
        <v/>
      </c>
      <c r="O513" s="10">
        <f>(K513+M513)/G513</f>
        <v/>
      </c>
      <c r="P513" s="10">
        <f>L513/G513</f>
        <v/>
      </c>
      <c r="Q513" s="10">
        <f>N513*D513/1000</f>
        <v/>
      </c>
      <c r="R513" s="11">
        <f>K513*D513/1000</f>
        <v/>
      </c>
      <c r="S513" s="11">
        <f>L513*D513/1000</f>
        <v/>
      </c>
    </row>
    <row r="514" ht="46.5" customHeight="1">
      <c r="A514" s="25" t="n"/>
      <c r="B514" s="25" t="n"/>
      <c r="C514" s="25" t="n"/>
      <c r="D514" s="25" t="n"/>
      <c r="E514" s="25" t="n"/>
      <c r="F514" s="25" t="n"/>
      <c r="G514" s="25" t="n"/>
      <c r="H514" s="25" t="n"/>
      <c r="I514" s="25" t="n"/>
      <c r="J514" s="25" t="n"/>
      <c r="K514" s="37" t="n"/>
      <c r="L514" s="37" t="n"/>
      <c r="M514" s="37" t="n"/>
      <c r="N514" s="10">
        <f>G514*2400+K514+L514+M514</f>
        <v/>
      </c>
      <c r="O514" s="10">
        <f>(K514+M514)/G514</f>
        <v/>
      </c>
      <c r="P514" s="10">
        <f>L514/G514</f>
        <v/>
      </c>
      <c r="Q514" s="10">
        <f>N514*D514/1000</f>
        <v/>
      </c>
      <c r="R514" s="11">
        <f>K514*D514/1000</f>
        <v/>
      </c>
      <c r="S514" s="11">
        <f>L514*D514/1000</f>
        <v/>
      </c>
    </row>
    <row r="515" ht="46.5" customHeight="1">
      <c r="A515" s="25" t="n"/>
      <c r="B515" s="25" t="n"/>
      <c r="C515" s="25" t="n"/>
      <c r="D515" s="25" t="n"/>
      <c r="E515" s="25" t="n"/>
      <c r="F515" s="25" t="n"/>
      <c r="G515" s="25" t="n"/>
      <c r="H515" s="25" t="n"/>
      <c r="I515" s="25" t="n"/>
      <c r="J515" s="25" t="n"/>
      <c r="K515" s="37" t="n"/>
      <c r="L515" s="37" t="n"/>
      <c r="M515" s="37" t="n"/>
      <c r="N515" s="10">
        <f>G515*2400+K515+L515+M515</f>
        <v/>
      </c>
      <c r="O515" s="10">
        <f>(K515+M515)/G515</f>
        <v/>
      </c>
      <c r="P515" s="10">
        <f>L515/G515</f>
        <v/>
      </c>
      <c r="Q515" s="10">
        <f>N515*D515/1000</f>
        <v/>
      </c>
      <c r="R515" s="11">
        <f>K515*D515/1000</f>
        <v/>
      </c>
      <c r="S515" s="11">
        <f>L515*D515/1000</f>
        <v/>
      </c>
    </row>
    <row r="516" ht="46.5" customHeight="1">
      <c r="A516" s="25" t="n"/>
      <c r="B516" s="25" t="n"/>
      <c r="C516" s="25" t="n"/>
      <c r="D516" s="25" t="n"/>
      <c r="E516" s="25" t="n"/>
      <c r="F516" s="25" t="n"/>
      <c r="G516" s="25" t="n"/>
      <c r="H516" s="25" t="n"/>
      <c r="I516" s="25" t="n"/>
      <c r="J516" s="25" t="n"/>
      <c r="K516" s="37" t="n"/>
      <c r="L516" s="37" t="n"/>
      <c r="M516" s="37" t="n"/>
      <c r="N516" s="10">
        <f>G516*2400+K516+L516+M516</f>
        <v/>
      </c>
      <c r="O516" s="10">
        <f>(K516+M516)/G516</f>
        <v/>
      </c>
      <c r="P516" s="10">
        <f>L516/G516</f>
        <v/>
      </c>
      <c r="Q516" s="10">
        <f>N516*D516/1000</f>
        <v/>
      </c>
      <c r="R516" s="11">
        <f>K516*D516/1000</f>
        <v/>
      </c>
      <c r="S516" s="11">
        <f>L516*D516/1000</f>
        <v/>
      </c>
    </row>
    <row r="517" ht="46.5" customHeight="1">
      <c r="A517" s="25" t="n"/>
      <c r="B517" s="25" t="n"/>
      <c r="C517" s="25" t="n"/>
      <c r="D517" s="25" t="n"/>
      <c r="E517" s="25" t="n"/>
      <c r="F517" s="25" t="n"/>
      <c r="G517" s="25" t="n"/>
      <c r="H517" s="25" t="n"/>
      <c r="I517" s="25" t="n"/>
      <c r="J517" s="25" t="n"/>
      <c r="K517" s="37" t="n"/>
      <c r="L517" s="37" t="n"/>
      <c r="M517" s="37" t="n"/>
      <c r="N517" s="10">
        <f>G517*2400+K517+L517+M517</f>
        <v/>
      </c>
      <c r="O517" s="10">
        <f>(K517+M517)/G517</f>
        <v/>
      </c>
      <c r="P517" s="10">
        <f>L517/G517</f>
        <v/>
      </c>
      <c r="Q517" s="10">
        <f>N517*D517/1000</f>
        <v/>
      </c>
      <c r="R517" s="11">
        <f>K517*D517/1000</f>
        <v/>
      </c>
      <c r="S517" s="11">
        <f>L517*D517/1000</f>
        <v/>
      </c>
    </row>
    <row r="518" ht="46.5" customHeight="1">
      <c r="A518" s="25" t="n"/>
      <c r="B518" s="25" t="n"/>
      <c r="C518" s="25" t="n"/>
      <c r="D518" s="25" t="n"/>
      <c r="E518" s="25" t="n"/>
      <c r="F518" s="25" t="n"/>
      <c r="G518" s="25" t="n"/>
      <c r="H518" s="25" t="n"/>
      <c r="I518" s="25" t="n"/>
      <c r="J518" s="25" t="n"/>
      <c r="K518" s="37" t="n"/>
      <c r="L518" s="37" t="n"/>
      <c r="M518" s="37" t="n"/>
      <c r="N518" s="10">
        <f>G518*2400+K518+L518+M518</f>
        <v/>
      </c>
      <c r="O518" s="10">
        <f>(K518+M518)/G518</f>
        <v/>
      </c>
      <c r="P518" s="10">
        <f>L518/G518</f>
        <v/>
      </c>
      <c r="Q518" s="10">
        <f>N518*D518/1000</f>
        <v/>
      </c>
      <c r="R518" s="11">
        <f>K518*D518/1000</f>
        <v/>
      </c>
      <c r="S518" s="11">
        <f>L518*D518/1000</f>
        <v/>
      </c>
    </row>
    <row r="519" ht="46.5" customHeight="1">
      <c r="A519" s="25" t="n"/>
      <c r="B519" s="25" t="n"/>
      <c r="C519" s="25" t="n"/>
      <c r="D519" s="25" t="n"/>
      <c r="E519" s="25" t="n"/>
      <c r="F519" s="25" t="n"/>
      <c r="G519" s="25" t="n"/>
      <c r="H519" s="25" t="n"/>
      <c r="I519" s="25" t="n"/>
      <c r="J519" s="25" t="n"/>
      <c r="K519" s="37" t="n"/>
      <c r="L519" s="37" t="n"/>
      <c r="M519" s="37" t="n"/>
      <c r="N519" s="10">
        <f>G519*2400+K519+L519+M519</f>
        <v/>
      </c>
      <c r="O519" s="10">
        <f>(K519+M519)/G519</f>
        <v/>
      </c>
      <c r="P519" s="10">
        <f>L519/G519</f>
        <v/>
      </c>
      <c r="Q519" s="10">
        <f>N519*D519/1000</f>
        <v/>
      </c>
      <c r="R519" s="11">
        <f>K519*D519/1000</f>
        <v/>
      </c>
      <c r="S519" s="11">
        <f>L519*D519/1000</f>
        <v/>
      </c>
    </row>
    <row r="520" ht="46.5" customHeight="1">
      <c r="A520" s="25" t="n"/>
      <c r="B520" s="25" t="n"/>
      <c r="C520" s="25" t="n"/>
      <c r="D520" s="25" t="n"/>
      <c r="E520" s="25" t="n"/>
      <c r="F520" s="25" t="n"/>
      <c r="G520" s="25" t="n"/>
      <c r="H520" s="25" t="n"/>
      <c r="I520" s="25" t="n"/>
      <c r="J520" s="25" t="n"/>
      <c r="K520" s="37" t="n"/>
      <c r="L520" s="37" t="n"/>
      <c r="M520" s="37" t="n"/>
      <c r="N520" s="10">
        <f>G520*2400+K520+L520+M520</f>
        <v/>
      </c>
      <c r="O520" s="10">
        <f>(K520+M520)/G520</f>
        <v/>
      </c>
      <c r="P520" s="10">
        <f>L520/G520</f>
        <v/>
      </c>
      <c r="Q520" s="10">
        <f>N520*D520/1000</f>
        <v/>
      </c>
      <c r="R520" s="11">
        <f>K520*D520/1000</f>
        <v/>
      </c>
      <c r="S520" s="11">
        <f>L520*D520/1000</f>
        <v/>
      </c>
    </row>
    <row r="521" ht="46.5" customHeight="1">
      <c r="A521" s="25" t="n"/>
      <c r="B521" s="25" t="n"/>
      <c r="C521" s="25" t="n"/>
      <c r="D521" s="25" t="n"/>
      <c r="E521" s="25" t="n"/>
      <c r="F521" s="25" t="n"/>
      <c r="G521" s="25" t="n"/>
      <c r="H521" s="25" t="n"/>
      <c r="I521" s="25" t="n"/>
      <c r="J521" s="25" t="n"/>
      <c r="K521" s="37" t="n"/>
      <c r="L521" s="37" t="n"/>
      <c r="M521" s="37" t="n"/>
      <c r="N521" s="10">
        <f>G521*2400+K521+L521+M521</f>
        <v/>
      </c>
      <c r="O521" s="10">
        <f>(K521+M521)/G521</f>
        <v/>
      </c>
      <c r="P521" s="10">
        <f>L521/G521</f>
        <v/>
      </c>
      <c r="Q521" s="10">
        <f>N521*D521/1000</f>
        <v/>
      </c>
      <c r="R521" s="11">
        <f>K521*D521/1000</f>
        <v/>
      </c>
      <c r="S521" s="11">
        <f>L521*D521/1000</f>
        <v/>
      </c>
    </row>
    <row r="522" ht="46.5" customHeight="1">
      <c r="A522" s="25" t="n"/>
      <c r="B522" s="25" t="n"/>
      <c r="C522" s="25" t="n"/>
      <c r="D522" s="25" t="n"/>
      <c r="E522" s="25" t="n"/>
      <c r="F522" s="25" t="n"/>
      <c r="G522" s="25" t="n"/>
      <c r="H522" s="25" t="n"/>
      <c r="I522" s="25" t="n"/>
      <c r="J522" s="25" t="n"/>
      <c r="K522" s="37" t="n"/>
      <c r="L522" s="37" t="n"/>
      <c r="M522" s="37" t="n"/>
      <c r="N522" s="10">
        <f>G522*2400+K522+L522+M522</f>
        <v/>
      </c>
      <c r="O522" s="10">
        <f>(K522+M522)/G522</f>
        <v/>
      </c>
      <c r="P522" s="10">
        <f>L522/G522</f>
        <v/>
      </c>
      <c r="Q522" s="10">
        <f>N522*D522/1000</f>
        <v/>
      </c>
      <c r="R522" s="11">
        <f>K522*D522/1000</f>
        <v/>
      </c>
      <c r="S522" s="11">
        <f>L522*D522/1000</f>
        <v/>
      </c>
    </row>
    <row r="523" ht="46.5" customHeight="1">
      <c r="A523" s="25" t="n"/>
      <c r="B523" s="25" t="n"/>
      <c r="C523" s="25" t="n"/>
      <c r="D523" s="25" t="n"/>
      <c r="E523" s="25" t="n"/>
      <c r="F523" s="25" t="n"/>
      <c r="G523" s="25" t="n"/>
      <c r="H523" s="25" t="n"/>
      <c r="I523" s="25" t="n"/>
      <c r="J523" s="25" t="n"/>
      <c r="K523" s="37" t="n"/>
      <c r="L523" s="37" t="n"/>
      <c r="M523" s="37" t="n"/>
      <c r="N523" s="10">
        <f>G523*2400+K523+L523+M523</f>
        <v/>
      </c>
      <c r="O523" s="10">
        <f>(K523+M523)/G523</f>
        <v/>
      </c>
      <c r="P523" s="10">
        <f>L523/G523</f>
        <v/>
      </c>
      <c r="Q523" s="10">
        <f>N523*D523/1000</f>
        <v/>
      </c>
      <c r="R523" s="11">
        <f>K523*D523/1000</f>
        <v/>
      </c>
      <c r="S523" s="11">
        <f>L523*D523/1000</f>
        <v/>
      </c>
    </row>
    <row r="524" ht="46.5" customHeight="1">
      <c r="A524" s="25" t="n"/>
      <c r="B524" s="25" t="n"/>
      <c r="C524" s="25" t="n"/>
      <c r="D524" s="25" t="n"/>
      <c r="E524" s="25" t="n"/>
      <c r="F524" s="25" t="n"/>
      <c r="G524" s="25" t="n"/>
      <c r="H524" s="25" t="n"/>
      <c r="I524" s="25" t="n"/>
      <c r="J524" s="25" t="n"/>
      <c r="K524" s="37" t="n"/>
      <c r="L524" s="37" t="n"/>
      <c r="M524" s="37" t="n"/>
      <c r="N524" s="10">
        <f>G524*2400+K524+L524+M524</f>
        <v/>
      </c>
      <c r="O524" s="10">
        <f>(K524+M524)/G524</f>
        <v/>
      </c>
      <c r="P524" s="10">
        <f>L524/G524</f>
        <v/>
      </c>
      <c r="Q524" s="10">
        <f>N524*D524/1000</f>
        <v/>
      </c>
      <c r="R524" s="11">
        <f>K524*D524/1000</f>
        <v/>
      </c>
      <c r="S524" s="11">
        <f>L524*D524/1000</f>
        <v/>
      </c>
    </row>
    <row r="525" ht="46.5" customHeight="1">
      <c r="A525" s="25" t="n"/>
      <c r="B525" s="25" t="n"/>
      <c r="C525" s="25" t="n"/>
      <c r="D525" s="25" t="n"/>
      <c r="E525" s="25" t="n"/>
      <c r="F525" s="25" t="n"/>
      <c r="G525" s="25" t="n"/>
      <c r="H525" s="25" t="n"/>
      <c r="I525" s="25" t="n"/>
      <c r="J525" s="25" t="n"/>
      <c r="K525" s="37" t="n"/>
      <c r="L525" s="37" t="n"/>
      <c r="M525" s="37" t="n"/>
      <c r="N525" s="10">
        <f>G525*2400+K525+L525+M525</f>
        <v/>
      </c>
      <c r="O525" s="10">
        <f>(K525+M525)/G525</f>
        <v/>
      </c>
      <c r="P525" s="10">
        <f>L525/G525</f>
        <v/>
      </c>
      <c r="Q525" s="10">
        <f>N525*D525/1000</f>
        <v/>
      </c>
      <c r="R525" s="11">
        <f>K525*D525/1000</f>
        <v/>
      </c>
      <c r="S525" s="11">
        <f>L525*D525/1000</f>
        <v/>
      </c>
    </row>
    <row r="526" ht="46.5" customHeight="1">
      <c r="A526" s="25" t="n"/>
      <c r="B526" s="25" t="n"/>
      <c r="C526" s="25" t="n"/>
      <c r="D526" s="25" t="n"/>
      <c r="E526" s="25" t="n"/>
      <c r="F526" s="25" t="n"/>
      <c r="G526" s="25" t="n"/>
      <c r="H526" s="25" t="n"/>
      <c r="I526" s="25" t="n"/>
      <c r="J526" s="25" t="n"/>
      <c r="K526" s="37" t="n"/>
      <c r="L526" s="37" t="n"/>
      <c r="M526" s="37" t="n"/>
      <c r="N526" s="10">
        <f>G526*2400+K526+L526+M526</f>
        <v/>
      </c>
      <c r="O526" s="10">
        <f>(K526+M526)/G526</f>
        <v/>
      </c>
      <c r="P526" s="10">
        <f>L526/G526</f>
        <v/>
      </c>
      <c r="Q526" s="10">
        <f>N526*D526/1000</f>
        <v/>
      </c>
      <c r="R526" s="11">
        <f>K526*D526/1000</f>
        <v/>
      </c>
      <c r="S526" s="11">
        <f>L526*D526/1000</f>
        <v/>
      </c>
    </row>
    <row r="527" ht="46.5" customHeight="1">
      <c r="A527" s="25" t="n"/>
      <c r="B527" s="25" t="n"/>
      <c r="C527" s="25" t="n"/>
      <c r="D527" s="25" t="n"/>
      <c r="E527" s="25" t="n"/>
      <c r="F527" s="25" t="n"/>
      <c r="G527" s="25" t="n"/>
      <c r="H527" s="25" t="n"/>
      <c r="I527" s="25" t="n"/>
      <c r="J527" s="25" t="n"/>
      <c r="K527" s="37" t="n"/>
      <c r="L527" s="37" t="n"/>
      <c r="M527" s="37" t="n"/>
      <c r="N527" s="10">
        <f>G527*2400+K527+L527+M527</f>
        <v/>
      </c>
      <c r="O527" s="10">
        <f>(K527+M527)/G527</f>
        <v/>
      </c>
      <c r="P527" s="10">
        <f>L527/G527</f>
        <v/>
      </c>
      <c r="Q527" s="10">
        <f>N527*D527/1000</f>
        <v/>
      </c>
      <c r="R527" s="11">
        <f>K527*D527/1000</f>
        <v/>
      </c>
      <c r="S527" s="11">
        <f>L527*D527/1000</f>
        <v/>
      </c>
    </row>
    <row r="528" ht="46.5" customHeight="1">
      <c r="A528" s="25" t="n"/>
      <c r="B528" s="25" t="n"/>
      <c r="C528" s="25" t="n"/>
      <c r="D528" s="25" t="n"/>
      <c r="E528" s="25" t="n"/>
      <c r="F528" s="25" t="n"/>
      <c r="G528" s="25" t="n"/>
      <c r="H528" s="25" t="n"/>
      <c r="I528" s="25" t="n"/>
      <c r="J528" s="25" t="n"/>
      <c r="K528" s="37" t="n"/>
      <c r="L528" s="37" t="n"/>
      <c r="M528" s="37" t="n"/>
      <c r="N528" s="10">
        <f>G528*2400+K528+L528+M528</f>
        <v/>
      </c>
      <c r="O528" s="10">
        <f>(K528+M528)/G528</f>
        <v/>
      </c>
      <c r="P528" s="10">
        <f>L528/G528</f>
        <v/>
      </c>
      <c r="Q528" s="10">
        <f>N528*D528/1000</f>
        <v/>
      </c>
      <c r="R528" s="11">
        <f>K528*D528/1000</f>
        <v/>
      </c>
      <c r="S528" s="11">
        <f>L528*D528/1000</f>
        <v/>
      </c>
    </row>
    <row r="529" ht="46.5" customHeight="1">
      <c r="A529" s="25" t="n"/>
      <c r="B529" s="25" t="n"/>
      <c r="C529" s="25" t="n"/>
      <c r="D529" s="25" t="n"/>
      <c r="E529" s="25" t="n"/>
      <c r="F529" s="25" t="n"/>
      <c r="G529" s="25" t="n"/>
      <c r="H529" s="25" t="n"/>
      <c r="I529" s="25" t="n"/>
      <c r="J529" s="25" t="n"/>
      <c r="K529" s="37" t="n"/>
      <c r="L529" s="37" t="n"/>
      <c r="M529" s="37" t="n"/>
      <c r="N529" s="10">
        <f>G529*2400+K529+L529+M529</f>
        <v/>
      </c>
      <c r="O529" s="10">
        <f>(K529+M529)/G529</f>
        <v/>
      </c>
      <c r="P529" s="10">
        <f>L529/G529</f>
        <v/>
      </c>
      <c r="Q529" s="10">
        <f>N529*D529/1000</f>
        <v/>
      </c>
      <c r="R529" s="11">
        <f>K529*D529/1000</f>
        <v/>
      </c>
      <c r="S529" s="11">
        <f>L529*D529/1000</f>
        <v/>
      </c>
    </row>
    <row r="530" ht="46.5" customHeight="1">
      <c r="A530" s="25" t="n"/>
      <c r="B530" s="25" t="n"/>
      <c r="C530" s="25" t="n"/>
      <c r="D530" s="25" t="n"/>
      <c r="E530" s="25" t="n"/>
      <c r="F530" s="25" t="n"/>
      <c r="G530" s="25" t="n"/>
      <c r="H530" s="25" t="n"/>
      <c r="I530" s="25" t="n"/>
      <c r="J530" s="25" t="n"/>
      <c r="K530" s="37" t="n"/>
      <c r="L530" s="37" t="n"/>
      <c r="M530" s="37" t="n"/>
      <c r="N530" s="10">
        <f>G530*2400+K530+L530+M530</f>
        <v/>
      </c>
      <c r="O530" s="10">
        <f>(K530+M530)/G530</f>
        <v/>
      </c>
      <c r="P530" s="10">
        <f>L530/G530</f>
        <v/>
      </c>
      <c r="Q530" s="10">
        <f>N530*D530/1000</f>
        <v/>
      </c>
      <c r="R530" s="11">
        <f>K530*D530/1000</f>
        <v/>
      </c>
      <c r="S530" s="11">
        <f>L530*D530/1000</f>
        <v/>
      </c>
    </row>
    <row r="531" ht="46.5" customHeight="1">
      <c r="A531" s="25" t="n"/>
      <c r="B531" s="25" t="n"/>
      <c r="C531" s="25" t="n"/>
      <c r="D531" s="25" t="n"/>
      <c r="E531" s="25" t="n"/>
      <c r="F531" s="25" t="n"/>
      <c r="G531" s="25" t="n"/>
      <c r="H531" s="25" t="n"/>
      <c r="I531" s="25" t="n"/>
      <c r="J531" s="25" t="n"/>
      <c r="K531" s="37" t="n"/>
      <c r="L531" s="37" t="n"/>
      <c r="M531" s="37" t="n"/>
      <c r="N531" s="10">
        <f>G531*2400+K531+L531+M531</f>
        <v/>
      </c>
      <c r="O531" s="10">
        <f>(K531+M531)/G531</f>
        <v/>
      </c>
      <c r="P531" s="10">
        <f>L531/G531</f>
        <v/>
      </c>
      <c r="Q531" s="10">
        <f>N531*D531/1000</f>
        <v/>
      </c>
      <c r="R531" s="11">
        <f>K531*D531/1000</f>
        <v/>
      </c>
      <c r="S531" s="11">
        <f>L531*D531/1000</f>
        <v/>
      </c>
    </row>
    <row r="532" ht="46.5" customHeight="1">
      <c r="A532" s="25" t="n"/>
      <c r="B532" s="25" t="n"/>
      <c r="C532" s="25" t="n"/>
      <c r="D532" s="25" t="n"/>
      <c r="E532" s="25" t="n"/>
      <c r="F532" s="25" t="n"/>
      <c r="G532" s="25" t="n"/>
      <c r="H532" s="25" t="n"/>
      <c r="I532" s="25" t="n"/>
      <c r="J532" s="25" t="n"/>
      <c r="K532" s="37" t="n"/>
      <c r="L532" s="37" t="n"/>
      <c r="M532" s="37" t="n"/>
      <c r="N532" s="10">
        <f>G532*2400+K532+L532+M532</f>
        <v/>
      </c>
      <c r="O532" s="10">
        <f>(K532+M532)/G532</f>
        <v/>
      </c>
      <c r="P532" s="10">
        <f>L532/G532</f>
        <v/>
      </c>
      <c r="Q532" s="10">
        <f>N532*D532/1000</f>
        <v/>
      </c>
      <c r="R532" s="11">
        <f>K532*D532/1000</f>
        <v/>
      </c>
      <c r="S532" s="11">
        <f>L532*D532/1000</f>
        <v/>
      </c>
    </row>
    <row r="533" ht="46.5" customHeight="1">
      <c r="A533" s="25" t="n"/>
      <c r="B533" s="25" t="n"/>
      <c r="C533" s="25" t="n"/>
      <c r="D533" s="25" t="n"/>
      <c r="E533" s="25" t="n"/>
      <c r="F533" s="25" t="n"/>
      <c r="G533" s="25" t="n"/>
      <c r="H533" s="25" t="n"/>
      <c r="I533" s="25" t="n"/>
      <c r="J533" s="25" t="n"/>
      <c r="K533" s="37" t="n"/>
      <c r="L533" s="37" t="n"/>
      <c r="M533" s="37" t="n"/>
      <c r="N533" s="10">
        <f>G533*2400+K533+L533+M533</f>
        <v/>
      </c>
      <c r="O533" s="10">
        <f>(K533+M533)/G533</f>
        <v/>
      </c>
      <c r="P533" s="10">
        <f>L533/G533</f>
        <v/>
      </c>
      <c r="Q533" s="10">
        <f>N533*D533/1000</f>
        <v/>
      </c>
      <c r="R533" s="11">
        <f>K533*D533/1000</f>
        <v/>
      </c>
      <c r="S533" s="11">
        <f>L533*D533/1000</f>
        <v/>
      </c>
    </row>
    <row r="534" ht="46.5" customHeight="1">
      <c r="A534" s="25" t="n"/>
      <c r="B534" s="25" t="n"/>
      <c r="C534" s="25" t="n"/>
      <c r="D534" s="25" t="n"/>
      <c r="E534" s="25" t="n"/>
      <c r="F534" s="25" t="n"/>
      <c r="G534" s="25" t="n"/>
      <c r="H534" s="25" t="n"/>
      <c r="I534" s="25" t="n"/>
      <c r="J534" s="25" t="n"/>
      <c r="K534" s="37" t="n"/>
      <c r="L534" s="37" t="n"/>
      <c r="M534" s="37" t="n"/>
      <c r="N534" s="10">
        <f>G534*2400+K534+L534+M534</f>
        <v/>
      </c>
      <c r="O534" s="10">
        <f>(K534+M534)/G534</f>
        <v/>
      </c>
      <c r="P534" s="10">
        <f>L534/G534</f>
        <v/>
      </c>
      <c r="Q534" s="10">
        <f>N534*D534/1000</f>
        <v/>
      </c>
      <c r="R534" s="11">
        <f>K534*D534/1000</f>
        <v/>
      </c>
      <c r="S534" s="11">
        <f>L534*D534/1000</f>
        <v/>
      </c>
    </row>
    <row r="535" ht="46.5" customHeight="1">
      <c r="A535" s="25" t="n"/>
      <c r="B535" s="25" t="n"/>
      <c r="C535" s="25" t="n"/>
      <c r="D535" s="25" t="n"/>
      <c r="E535" s="25" t="n"/>
      <c r="F535" s="25" t="n"/>
      <c r="G535" s="25" t="n"/>
      <c r="H535" s="25" t="n"/>
      <c r="I535" s="25" t="n"/>
      <c r="J535" s="25" t="n"/>
      <c r="K535" s="37" t="n"/>
      <c r="L535" s="37" t="n"/>
      <c r="M535" s="37" t="n"/>
      <c r="N535" s="10">
        <f>G535*2400+K535+L535+M535</f>
        <v/>
      </c>
      <c r="O535" s="10">
        <f>(K535+M535)/G535</f>
        <v/>
      </c>
      <c r="P535" s="10">
        <f>L535/G535</f>
        <v/>
      </c>
      <c r="Q535" s="10">
        <f>N535*D535/1000</f>
        <v/>
      </c>
      <c r="R535" s="11">
        <f>K535*D535/1000</f>
        <v/>
      </c>
      <c r="S535" s="11">
        <f>L535*D535/1000</f>
        <v/>
      </c>
    </row>
    <row r="536" ht="46.5" customHeight="1">
      <c r="A536" s="25" t="n"/>
      <c r="B536" s="25" t="n"/>
      <c r="C536" s="25" t="n"/>
      <c r="D536" s="25" t="n"/>
      <c r="E536" s="25" t="n"/>
      <c r="F536" s="25" t="n"/>
      <c r="G536" s="25" t="n"/>
      <c r="H536" s="25" t="n"/>
      <c r="I536" s="25" t="n"/>
      <c r="J536" s="25" t="n"/>
      <c r="K536" s="37" t="n"/>
      <c r="L536" s="37" t="n"/>
      <c r="M536" s="37" t="n"/>
      <c r="N536" s="10">
        <f>G536*2400+K536+L536+M536</f>
        <v/>
      </c>
      <c r="O536" s="10">
        <f>(K536+M536)/G536</f>
        <v/>
      </c>
      <c r="P536" s="10">
        <f>L536/G536</f>
        <v/>
      </c>
      <c r="Q536" s="10">
        <f>N536*D536/1000</f>
        <v/>
      </c>
      <c r="R536" s="11">
        <f>K536*D536/1000</f>
        <v/>
      </c>
      <c r="S536" s="11">
        <f>L536*D536/1000</f>
        <v/>
      </c>
    </row>
    <row r="537" ht="46.5" customHeight="1">
      <c r="A537" s="25" t="n"/>
      <c r="B537" s="25" t="n"/>
      <c r="C537" s="25" t="n"/>
      <c r="D537" s="25" t="n"/>
      <c r="E537" s="25" t="n"/>
      <c r="F537" s="25" t="n"/>
      <c r="G537" s="25" t="n"/>
      <c r="H537" s="25" t="n"/>
      <c r="I537" s="25" t="n"/>
      <c r="J537" s="25" t="n"/>
      <c r="K537" s="37" t="n"/>
      <c r="L537" s="37" t="n"/>
      <c r="M537" s="37" t="n"/>
      <c r="N537" s="10">
        <f>G537*2400+K537+L537+M537</f>
        <v/>
      </c>
      <c r="O537" s="10">
        <f>(K537+M537)/G537</f>
        <v/>
      </c>
      <c r="P537" s="10">
        <f>L537/G537</f>
        <v/>
      </c>
      <c r="Q537" s="10">
        <f>N537*D537/1000</f>
        <v/>
      </c>
      <c r="R537" s="11">
        <f>K537*D537/1000</f>
        <v/>
      </c>
      <c r="S537" s="11">
        <f>L537*D537/1000</f>
        <v/>
      </c>
    </row>
    <row r="538" ht="46.5" customHeight="1">
      <c r="A538" s="25" t="n"/>
      <c r="B538" s="25" t="n"/>
      <c r="C538" s="25" t="n"/>
      <c r="D538" s="25" t="n"/>
      <c r="E538" s="25" t="n"/>
      <c r="F538" s="25" t="n"/>
      <c r="G538" s="25" t="n"/>
      <c r="H538" s="25" t="n"/>
      <c r="I538" s="25" t="n"/>
      <c r="J538" s="25" t="n"/>
      <c r="K538" s="37" t="n"/>
      <c r="L538" s="37" t="n"/>
      <c r="M538" s="37" t="n"/>
      <c r="N538" s="10">
        <f>G538*2400+K538+L538+M538</f>
        <v/>
      </c>
      <c r="O538" s="10">
        <f>(K538+M538)/G538</f>
        <v/>
      </c>
      <c r="P538" s="10">
        <f>L538/G538</f>
        <v/>
      </c>
      <c r="Q538" s="10">
        <f>N538*D538/1000</f>
        <v/>
      </c>
      <c r="R538" s="11">
        <f>K538*D538/1000</f>
        <v/>
      </c>
      <c r="S538" s="11">
        <f>L538*D538/1000</f>
        <v/>
      </c>
    </row>
    <row r="539" ht="46.5" customHeight="1">
      <c r="A539" s="25" t="n"/>
      <c r="B539" s="25" t="n"/>
      <c r="C539" s="25" t="n"/>
      <c r="D539" s="25" t="n"/>
      <c r="E539" s="25" t="n"/>
      <c r="F539" s="25" t="n"/>
      <c r="G539" s="25" t="n"/>
      <c r="H539" s="25" t="n"/>
      <c r="I539" s="25" t="n"/>
      <c r="J539" s="25" t="n"/>
      <c r="K539" s="37" t="n"/>
      <c r="L539" s="37" t="n"/>
      <c r="M539" s="37" t="n"/>
      <c r="N539" s="10">
        <f>G539*2400+K539+L539+M539</f>
        <v/>
      </c>
      <c r="O539" s="10">
        <f>(K539+M539)/G539</f>
        <v/>
      </c>
      <c r="P539" s="10">
        <f>L539/G539</f>
        <v/>
      </c>
      <c r="Q539" s="10">
        <f>N539*D539/1000</f>
        <v/>
      </c>
      <c r="R539" s="11">
        <f>K539*D539/1000</f>
        <v/>
      </c>
      <c r="S539" s="11">
        <f>L539*D539/1000</f>
        <v/>
      </c>
    </row>
    <row r="540" ht="46.5" customHeight="1">
      <c r="A540" s="25" t="n"/>
      <c r="B540" s="25" t="n"/>
      <c r="C540" s="25" t="n"/>
      <c r="D540" s="25" t="n"/>
      <c r="E540" s="25" t="n"/>
      <c r="F540" s="25" t="n"/>
      <c r="G540" s="25" t="n"/>
      <c r="H540" s="25" t="n"/>
      <c r="I540" s="25" t="n"/>
      <c r="J540" s="25" t="n"/>
      <c r="K540" s="37" t="n"/>
      <c r="L540" s="37" t="n"/>
      <c r="M540" s="37" t="n"/>
      <c r="N540" s="10">
        <f>G540*2400+K540+L540+M540</f>
        <v/>
      </c>
      <c r="O540" s="10">
        <f>(K540+M540)/G540</f>
        <v/>
      </c>
      <c r="P540" s="10">
        <f>L540/G540</f>
        <v/>
      </c>
      <c r="Q540" s="10">
        <f>N540*D540/1000</f>
        <v/>
      </c>
      <c r="R540" s="11">
        <f>K540*D540/1000</f>
        <v/>
      </c>
      <c r="S540" s="11">
        <f>L540*D540/1000</f>
        <v/>
      </c>
    </row>
    <row r="541" ht="46.5" customHeight="1">
      <c r="A541" s="25" t="n"/>
      <c r="B541" s="25" t="n"/>
      <c r="C541" s="25" t="n"/>
      <c r="D541" s="25" t="n"/>
      <c r="E541" s="25" t="n"/>
      <c r="F541" s="25" t="n"/>
      <c r="G541" s="25" t="n"/>
      <c r="H541" s="25" t="n"/>
      <c r="I541" s="25" t="n"/>
      <c r="J541" s="25" t="n"/>
      <c r="K541" s="37" t="n"/>
      <c r="L541" s="37" t="n"/>
      <c r="M541" s="37" t="n"/>
      <c r="N541" s="10">
        <f>G541*2400+K541+L541+M541</f>
        <v/>
      </c>
      <c r="O541" s="10">
        <f>(K541+M541)/G541</f>
        <v/>
      </c>
      <c r="P541" s="10">
        <f>L541/G541</f>
        <v/>
      </c>
      <c r="Q541" s="10">
        <f>N541*D541/1000</f>
        <v/>
      </c>
      <c r="R541" s="11">
        <f>K541*D541/1000</f>
        <v/>
      </c>
      <c r="S541" s="11">
        <f>L541*D541/1000</f>
        <v/>
      </c>
    </row>
    <row r="542" ht="46.5" customHeight="1">
      <c r="A542" s="25" t="n"/>
      <c r="B542" s="25" t="n"/>
      <c r="C542" s="25" t="n"/>
      <c r="D542" s="25" t="n"/>
      <c r="E542" s="25" t="n"/>
      <c r="F542" s="25" t="n"/>
      <c r="G542" s="25" t="n"/>
      <c r="H542" s="25" t="n"/>
      <c r="I542" s="25" t="n"/>
      <c r="J542" s="25" t="n"/>
      <c r="K542" s="37" t="n"/>
      <c r="L542" s="37" t="n"/>
      <c r="M542" s="37" t="n"/>
      <c r="N542" s="10">
        <f>G542*2400+K542+L542+M542</f>
        <v/>
      </c>
      <c r="O542" s="10">
        <f>(K542+M542)/G542</f>
        <v/>
      </c>
      <c r="P542" s="10">
        <f>L542/G542</f>
        <v/>
      </c>
      <c r="Q542" s="10">
        <f>N542*D542/1000</f>
        <v/>
      </c>
      <c r="R542" s="11">
        <f>K542*D542/1000</f>
        <v/>
      </c>
      <c r="S542" s="11">
        <f>L542*D542/1000</f>
        <v/>
      </c>
    </row>
    <row r="543" ht="46.5" customHeight="1">
      <c r="A543" s="25" t="n"/>
      <c r="B543" s="25" t="n"/>
      <c r="C543" s="25" t="n"/>
      <c r="D543" s="25" t="n"/>
      <c r="E543" s="25" t="n"/>
      <c r="F543" s="25" t="n"/>
      <c r="G543" s="25" t="n"/>
      <c r="H543" s="25" t="n"/>
      <c r="I543" s="25" t="n"/>
      <c r="J543" s="25" t="n"/>
      <c r="K543" s="37" t="n"/>
      <c r="L543" s="37" t="n"/>
      <c r="M543" s="37" t="n"/>
      <c r="N543" s="10">
        <f>G543*2400+K543+L543+M543</f>
        <v/>
      </c>
      <c r="O543" s="10">
        <f>(K543+M543)/G543</f>
        <v/>
      </c>
      <c r="P543" s="10">
        <f>L543/G543</f>
        <v/>
      </c>
      <c r="Q543" s="10">
        <f>N543*D543/1000</f>
        <v/>
      </c>
      <c r="R543" s="11">
        <f>K543*D543/1000</f>
        <v/>
      </c>
      <c r="S543" s="11">
        <f>L543*D543/1000</f>
        <v/>
      </c>
    </row>
    <row r="544" ht="46.5" customHeight="1">
      <c r="A544" s="25" t="n"/>
      <c r="B544" s="25" t="n"/>
      <c r="C544" s="25" t="n"/>
      <c r="D544" s="25" t="n"/>
      <c r="E544" s="25" t="n"/>
      <c r="F544" s="25" t="n"/>
      <c r="G544" s="25" t="n"/>
      <c r="H544" s="25" t="n"/>
      <c r="I544" s="25" t="n"/>
      <c r="J544" s="25" t="n"/>
      <c r="K544" s="37" t="n"/>
      <c r="L544" s="37" t="n"/>
      <c r="M544" s="37" t="n"/>
      <c r="N544" s="10">
        <f>G544*2400+K544+L544+M544</f>
        <v/>
      </c>
      <c r="O544" s="10">
        <f>(K544+M544)/G544</f>
        <v/>
      </c>
      <c r="P544" s="10">
        <f>L544/G544</f>
        <v/>
      </c>
      <c r="Q544" s="10">
        <f>N544*D544/1000</f>
        <v/>
      </c>
      <c r="R544" s="11">
        <f>K544*D544/1000</f>
        <v/>
      </c>
      <c r="S544" s="11">
        <f>L544*D544/1000</f>
        <v/>
      </c>
    </row>
    <row r="545" ht="46.5" customHeight="1">
      <c r="A545" s="25" t="n"/>
      <c r="B545" s="25" t="n"/>
      <c r="C545" s="25" t="n"/>
      <c r="D545" s="25" t="n"/>
      <c r="E545" s="25" t="n"/>
      <c r="F545" s="25" t="n"/>
      <c r="G545" s="25" t="n"/>
      <c r="H545" s="25" t="n"/>
      <c r="I545" s="25" t="n"/>
      <c r="J545" s="25" t="n"/>
      <c r="K545" s="37" t="n"/>
      <c r="L545" s="37" t="n"/>
      <c r="M545" s="37" t="n"/>
      <c r="N545" s="10">
        <f>G545*2400+K545+L545+M545</f>
        <v/>
      </c>
      <c r="O545" s="10">
        <f>(K545+M545)/G545</f>
        <v/>
      </c>
      <c r="P545" s="10">
        <f>L545/G545</f>
        <v/>
      </c>
      <c r="Q545" s="10">
        <f>N545*D545/1000</f>
        <v/>
      </c>
      <c r="R545" s="11">
        <f>K545*D545/1000</f>
        <v/>
      </c>
      <c r="S545" s="11">
        <f>L545*D545/1000</f>
        <v/>
      </c>
    </row>
    <row r="546" ht="46.5" customHeight="1">
      <c r="A546" s="25" t="n"/>
      <c r="B546" s="25" t="n"/>
      <c r="C546" s="25" t="n"/>
      <c r="D546" s="25" t="n"/>
      <c r="E546" s="25" t="n"/>
      <c r="F546" s="25" t="n"/>
      <c r="G546" s="25" t="n"/>
      <c r="H546" s="25" t="n"/>
      <c r="I546" s="25" t="n"/>
      <c r="J546" s="25" t="n"/>
      <c r="K546" s="37" t="n"/>
      <c r="L546" s="37" t="n"/>
      <c r="M546" s="37" t="n"/>
      <c r="N546" s="10">
        <f>G546*2400+K546+L546+M546</f>
        <v/>
      </c>
      <c r="O546" s="10">
        <f>(K546+M546)/G546</f>
        <v/>
      </c>
      <c r="P546" s="10">
        <f>L546/G546</f>
        <v/>
      </c>
      <c r="Q546" s="10">
        <f>N546*D546/1000</f>
        <v/>
      </c>
      <c r="R546" s="11">
        <f>K546*D546/1000</f>
        <v/>
      </c>
      <c r="S546" s="11">
        <f>L546*D546/1000</f>
        <v/>
      </c>
    </row>
    <row r="547" ht="46.5" customHeight="1">
      <c r="A547" s="25" t="n"/>
      <c r="B547" s="25" t="n"/>
      <c r="C547" s="25" t="n"/>
      <c r="D547" s="25" t="n"/>
      <c r="E547" s="25" t="n"/>
      <c r="F547" s="25" t="n"/>
      <c r="G547" s="25" t="n"/>
      <c r="H547" s="25" t="n"/>
      <c r="I547" s="25" t="n"/>
      <c r="J547" s="25" t="n"/>
      <c r="K547" s="37" t="n"/>
      <c r="L547" s="37" t="n"/>
      <c r="M547" s="37" t="n"/>
      <c r="N547" s="10">
        <f>G547*2400+K547+L547+M547</f>
        <v/>
      </c>
      <c r="O547" s="10">
        <f>(K547+M547)/G547</f>
        <v/>
      </c>
      <c r="P547" s="10">
        <f>L547/G547</f>
        <v/>
      </c>
      <c r="Q547" s="10">
        <f>N547*D547/1000</f>
        <v/>
      </c>
      <c r="R547" s="11">
        <f>K547*D547/1000</f>
        <v/>
      </c>
      <c r="S547" s="11">
        <f>L547*D547/1000</f>
        <v/>
      </c>
    </row>
    <row r="548" ht="46.5" customHeight="1">
      <c r="A548" s="25" t="n"/>
      <c r="B548" s="25" t="n"/>
      <c r="C548" s="25" t="n"/>
      <c r="D548" s="25" t="n"/>
      <c r="E548" s="25" t="n"/>
      <c r="F548" s="25" t="n"/>
      <c r="G548" s="25" t="n"/>
      <c r="H548" s="25" t="n"/>
      <c r="I548" s="25" t="n"/>
      <c r="J548" s="25" t="n"/>
      <c r="K548" s="37" t="n"/>
      <c r="L548" s="37" t="n"/>
      <c r="M548" s="37" t="n"/>
      <c r="N548" s="10">
        <f>G548*2400+K548+L548+M548</f>
        <v/>
      </c>
      <c r="O548" s="10">
        <f>(K548+M548)/G548</f>
        <v/>
      </c>
      <c r="P548" s="10">
        <f>L548/G548</f>
        <v/>
      </c>
      <c r="Q548" s="10">
        <f>N548*D548/1000</f>
        <v/>
      </c>
      <c r="R548" s="11">
        <f>K548*D548/1000</f>
        <v/>
      </c>
      <c r="S548" s="11">
        <f>L548*D548/1000</f>
        <v/>
      </c>
    </row>
    <row r="549" ht="46.5" customHeight="1">
      <c r="A549" s="25" t="n"/>
      <c r="B549" s="25" t="n"/>
      <c r="C549" s="25" t="n"/>
      <c r="D549" s="25" t="n"/>
      <c r="E549" s="25" t="n"/>
      <c r="F549" s="25" t="n"/>
      <c r="G549" s="25" t="n"/>
      <c r="H549" s="25" t="n"/>
      <c r="I549" s="25" t="n"/>
      <c r="J549" s="25" t="n"/>
      <c r="K549" s="37" t="n"/>
      <c r="L549" s="37" t="n"/>
      <c r="M549" s="37" t="n"/>
      <c r="N549" s="10">
        <f>G549*2400+K549+L549+M549</f>
        <v/>
      </c>
      <c r="O549" s="10">
        <f>(K549+M549)/G549</f>
        <v/>
      </c>
      <c r="P549" s="10">
        <f>L549/G549</f>
        <v/>
      </c>
      <c r="Q549" s="10">
        <f>N549*D549/1000</f>
        <v/>
      </c>
      <c r="R549" s="11">
        <f>K549*D549/1000</f>
        <v/>
      </c>
      <c r="S549" s="11">
        <f>L549*D549/1000</f>
        <v/>
      </c>
    </row>
    <row r="550" ht="46.5" customHeight="1">
      <c r="A550" s="25" t="n"/>
      <c r="B550" s="25" t="n"/>
      <c r="C550" s="25" t="n"/>
      <c r="D550" s="25" t="n"/>
      <c r="E550" s="25" t="n"/>
      <c r="F550" s="25" t="n"/>
      <c r="G550" s="25" t="n"/>
      <c r="H550" s="25" t="n"/>
      <c r="I550" s="25" t="n"/>
      <c r="J550" s="25" t="n"/>
      <c r="K550" s="37" t="n"/>
      <c r="L550" s="37" t="n"/>
      <c r="M550" s="37" t="n"/>
      <c r="N550" s="10">
        <f>G550*2400+K550+L550+M550</f>
        <v/>
      </c>
      <c r="O550" s="10">
        <f>(K550+M550)/G550</f>
        <v/>
      </c>
      <c r="P550" s="10">
        <f>L550/G550</f>
        <v/>
      </c>
      <c r="Q550" s="10">
        <f>N550*D550/1000</f>
        <v/>
      </c>
      <c r="R550" s="11">
        <f>K550*D550/1000</f>
        <v/>
      </c>
      <c r="S550" s="11">
        <f>L550*D550/1000</f>
        <v/>
      </c>
    </row>
    <row r="551" ht="46.5" customHeight="1">
      <c r="A551" s="25" t="n"/>
      <c r="B551" s="25" t="n"/>
      <c r="C551" s="25" t="n"/>
      <c r="D551" s="25" t="n"/>
      <c r="E551" s="25" t="n"/>
      <c r="F551" s="25" t="n"/>
      <c r="G551" s="25" t="n"/>
      <c r="H551" s="25" t="n"/>
      <c r="I551" s="25" t="n"/>
      <c r="J551" s="25" t="n"/>
      <c r="K551" s="37" t="n"/>
      <c r="L551" s="37" t="n"/>
      <c r="M551" s="37" t="n"/>
      <c r="N551" s="10">
        <f>G551*2400+K551+L551+M551</f>
        <v/>
      </c>
      <c r="O551" s="10">
        <f>(K551+M551)/G551</f>
        <v/>
      </c>
      <c r="P551" s="10">
        <f>L551/G551</f>
        <v/>
      </c>
      <c r="Q551" s="10">
        <f>N551*D551/1000</f>
        <v/>
      </c>
      <c r="R551" s="11">
        <f>K551*D551/1000</f>
        <v/>
      </c>
      <c r="S551" s="11">
        <f>L551*D551/1000</f>
        <v/>
      </c>
    </row>
    <row r="552" ht="46.5" customHeight="1">
      <c r="A552" s="25" t="n"/>
      <c r="B552" s="25" t="n"/>
      <c r="C552" s="25" t="n"/>
      <c r="D552" s="25" t="n"/>
      <c r="E552" s="25" t="n"/>
      <c r="F552" s="25" t="n"/>
      <c r="G552" s="25" t="n"/>
      <c r="H552" s="25" t="n"/>
      <c r="I552" s="25" t="n"/>
      <c r="J552" s="25" t="n"/>
      <c r="K552" s="37" t="n"/>
      <c r="L552" s="37" t="n"/>
      <c r="M552" s="37" t="n"/>
      <c r="N552" s="10">
        <f>G552*2400+K552+L552+M552</f>
        <v/>
      </c>
      <c r="O552" s="10">
        <f>(K552+M552)/G552</f>
        <v/>
      </c>
      <c r="P552" s="10">
        <f>L552/G552</f>
        <v/>
      </c>
      <c r="Q552" s="10">
        <f>N552*D552/1000</f>
        <v/>
      </c>
      <c r="R552" s="11">
        <f>K552*D552/1000</f>
        <v/>
      </c>
      <c r="S552" s="11">
        <f>L552*D552/1000</f>
        <v/>
      </c>
    </row>
    <row r="553" ht="46.5" customHeight="1">
      <c r="A553" s="25" t="n"/>
      <c r="B553" s="25" t="n"/>
      <c r="C553" s="25" t="n"/>
      <c r="D553" s="25" t="n"/>
      <c r="E553" s="25" t="n"/>
      <c r="F553" s="25" t="n"/>
      <c r="G553" s="25" t="n"/>
      <c r="H553" s="25" t="n"/>
      <c r="I553" s="25" t="n"/>
      <c r="J553" s="25" t="n"/>
      <c r="K553" s="37" t="n"/>
      <c r="L553" s="37" t="n"/>
      <c r="M553" s="37" t="n"/>
      <c r="N553" s="10">
        <f>G553*2400+K553+L553+M553</f>
        <v/>
      </c>
      <c r="O553" s="10">
        <f>(K553+M553)/G553</f>
        <v/>
      </c>
      <c r="P553" s="10">
        <f>L553/G553</f>
        <v/>
      </c>
      <c r="Q553" s="10">
        <f>N553*D553/1000</f>
        <v/>
      </c>
      <c r="R553" s="11">
        <f>K553*D553/1000</f>
        <v/>
      </c>
      <c r="S553" s="11">
        <f>L553*D553/1000</f>
        <v/>
      </c>
    </row>
    <row r="554" ht="46.5" customHeight="1">
      <c r="A554" s="25" t="n"/>
      <c r="B554" s="25" t="n"/>
      <c r="C554" s="25" t="n"/>
      <c r="D554" s="25" t="n"/>
      <c r="E554" s="25" t="n"/>
      <c r="F554" s="25" t="n"/>
      <c r="G554" s="25" t="n"/>
      <c r="H554" s="25" t="n"/>
      <c r="I554" s="25" t="n"/>
      <c r="J554" s="25" t="n"/>
      <c r="K554" s="37" t="n"/>
      <c r="L554" s="37" t="n"/>
      <c r="M554" s="37" t="n"/>
      <c r="N554" s="10">
        <f>G554*2400+K554+L554+M554</f>
        <v/>
      </c>
      <c r="O554" s="10">
        <f>(K554+M554)/G554</f>
        <v/>
      </c>
      <c r="P554" s="10">
        <f>L554/G554</f>
        <v/>
      </c>
      <c r="Q554" s="10">
        <f>N554*D554/1000</f>
        <v/>
      </c>
      <c r="R554" s="11">
        <f>K554*D554/1000</f>
        <v/>
      </c>
      <c r="S554" s="11">
        <f>L554*D554/1000</f>
        <v/>
      </c>
    </row>
    <row r="555" ht="46.5" customHeight="1">
      <c r="A555" s="25" t="n"/>
      <c r="B555" s="25" t="n"/>
      <c r="C555" s="25" t="n"/>
      <c r="D555" s="25" t="n"/>
      <c r="E555" s="25" t="n"/>
      <c r="F555" s="25" t="n"/>
      <c r="G555" s="25" t="n"/>
      <c r="H555" s="25" t="n"/>
      <c r="I555" s="25" t="n"/>
      <c r="J555" s="25" t="n"/>
      <c r="K555" s="37" t="n"/>
      <c r="L555" s="37" t="n"/>
      <c r="M555" s="37" t="n"/>
      <c r="N555" s="10">
        <f>G555*2400+K555+L555+M555</f>
        <v/>
      </c>
      <c r="O555" s="10">
        <f>(K555+M555)/G555</f>
        <v/>
      </c>
      <c r="P555" s="10">
        <f>L555/G555</f>
        <v/>
      </c>
      <c r="Q555" s="10">
        <f>N555*D555/1000</f>
        <v/>
      </c>
      <c r="R555" s="11">
        <f>K555*D555/1000</f>
        <v/>
      </c>
      <c r="S555" s="11">
        <f>L555*D555/1000</f>
        <v/>
      </c>
    </row>
    <row r="556" ht="46.5" customHeight="1">
      <c r="A556" s="25" t="n"/>
      <c r="B556" s="25" t="n"/>
      <c r="C556" s="25" t="n"/>
      <c r="D556" s="25" t="n"/>
      <c r="E556" s="25" t="n"/>
      <c r="F556" s="25" t="n"/>
      <c r="G556" s="25" t="n"/>
      <c r="H556" s="25" t="n"/>
      <c r="I556" s="25" t="n"/>
      <c r="J556" s="25" t="n"/>
      <c r="K556" s="37" t="n"/>
      <c r="L556" s="37" t="n"/>
      <c r="M556" s="37" t="n"/>
      <c r="N556" s="10">
        <f>G556*2400+K556+L556+M556</f>
        <v/>
      </c>
      <c r="O556" s="10">
        <f>(K556+M556)/G556</f>
        <v/>
      </c>
      <c r="P556" s="10">
        <f>L556/G556</f>
        <v/>
      </c>
      <c r="Q556" s="10">
        <f>N556*D556/1000</f>
        <v/>
      </c>
      <c r="R556" s="11">
        <f>K556*D556/1000</f>
        <v/>
      </c>
      <c r="S556" s="11">
        <f>L556*D556/1000</f>
        <v/>
      </c>
    </row>
    <row r="557" ht="46.5" customHeight="1">
      <c r="A557" s="25" t="n"/>
      <c r="B557" s="25" t="n"/>
      <c r="C557" s="25" t="n"/>
      <c r="D557" s="25" t="n"/>
      <c r="E557" s="25" t="n"/>
      <c r="F557" s="25" t="n"/>
      <c r="G557" s="25" t="n"/>
      <c r="H557" s="25" t="n"/>
      <c r="I557" s="25" t="n"/>
      <c r="J557" s="25" t="n"/>
      <c r="K557" s="37" t="n"/>
      <c r="L557" s="37" t="n"/>
      <c r="M557" s="37" t="n"/>
      <c r="N557" s="10">
        <f>G557*2400+K557+L557+M557</f>
        <v/>
      </c>
      <c r="O557" s="10">
        <f>(K557+M557)/G557</f>
        <v/>
      </c>
      <c r="P557" s="10">
        <f>L557/G557</f>
        <v/>
      </c>
      <c r="Q557" s="10">
        <f>N557*D557/1000</f>
        <v/>
      </c>
      <c r="R557" s="11">
        <f>K557*D557/1000</f>
        <v/>
      </c>
      <c r="S557" s="11">
        <f>L557*D557/1000</f>
        <v/>
      </c>
    </row>
    <row r="558" ht="46.5" customHeight="1">
      <c r="A558" s="25" t="n"/>
      <c r="B558" s="25" t="n"/>
      <c r="C558" s="25" t="n"/>
      <c r="D558" s="25" t="n"/>
      <c r="E558" s="25" t="n"/>
      <c r="F558" s="25" t="n"/>
      <c r="G558" s="25" t="n"/>
      <c r="H558" s="25" t="n"/>
      <c r="I558" s="25" t="n"/>
      <c r="J558" s="25" t="n"/>
      <c r="K558" s="37" t="n"/>
      <c r="L558" s="37" t="n"/>
      <c r="M558" s="37" t="n"/>
      <c r="N558" s="10">
        <f>G558*2400+K558+L558+M558</f>
        <v/>
      </c>
      <c r="O558" s="10">
        <f>(K558+M558)/G558</f>
        <v/>
      </c>
      <c r="P558" s="10">
        <f>L558/G558</f>
        <v/>
      </c>
      <c r="Q558" s="10">
        <f>N558*D558/1000</f>
        <v/>
      </c>
      <c r="R558" s="11">
        <f>K558*D558/1000</f>
        <v/>
      </c>
      <c r="S558" s="11">
        <f>L558*D558/1000</f>
        <v/>
      </c>
    </row>
    <row r="559" ht="46.5" customHeight="1">
      <c r="A559" s="25" t="n"/>
      <c r="B559" s="25" t="n"/>
      <c r="C559" s="25" t="n"/>
      <c r="D559" s="25" t="n"/>
      <c r="E559" s="25" t="n"/>
      <c r="F559" s="25" t="n"/>
      <c r="G559" s="25" t="n"/>
      <c r="H559" s="25" t="n"/>
      <c r="I559" s="25" t="n"/>
      <c r="J559" s="25" t="n"/>
      <c r="K559" s="37" t="n"/>
      <c r="L559" s="37" t="n"/>
      <c r="M559" s="37" t="n"/>
      <c r="N559" s="10">
        <f>G559*2400+K559+L559+M559</f>
        <v/>
      </c>
      <c r="O559" s="10">
        <f>(K559+M559)/G559</f>
        <v/>
      </c>
      <c r="P559" s="10">
        <f>L559/G559</f>
        <v/>
      </c>
      <c r="Q559" s="10">
        <f>N559*D559/1000</f>
        <v/>
      </c>
      <c r="R559" s="11">
        <f>K559*D559/1000</f>
        <v/>
      </c>
      <c r="S559" s="11">
        <f>L559*D559/1000</f>
        <v/>
      </c>
    </row>
    <row r="560" ht="46.5" customHeight="1">
      <c r="A560" s="25" t="n"/>
      <c r="B560" s="25" t="n"/>
      <c r="C560" s="25" t="n"/>
      <c r="D560" s="25" t="n"/>
      <c r="E560" s="25" t="n"/>
      <c r="F560" s="25" t="n"/>
      <c r="G560" s="25" t="n"/>
      <c r="H560" s="25" t="n"/>
      <c r="I560" s="25" t="n"/>
      <c r="J560" s="25" t="n"/>
      <c r="K560" s="37" t="n"/>
      <c r="L560" s="37" t="n"/>
      <c r="M560" s="37" t="n"/>
      <c r="N560" s="10">
        <f>G560*2400+K560+L560+M560</f>
        <v/>
      </c>
      <c r="O560" s="10">
        <f>(K560+M560)/G560</f>
        <v/>
      </c>
      <c r="P560" s="10">
        <f>L560/G560</f>
        <v/>
      </c>
      <c r="Q560" s="10">
        <f>N560*D560/1000</f>
        <v/>
      </c>
      <c r="R560" s="11">
        <f>K560*D560/1000</f>
        <v/>
      </c>
      <c r="S560" s="11">
        <f>L560*D560/1000</f>
        <v/>
      </c>
    </row>
    <row r="561" ht="46.5" customHeight="1">
      <c r="A561" s="25" t="n"/>
      <c r="B561" s="25" t="n"/>
      <c r="C561" s="25" t="n"/>
      <c r="D561" s="25" t="n"/>
      <c r="E561" s="25" t="n"/>
      <c r="F561" s="25" t="n"/>
      <c r="G561" s="25" t="n"/>
      <c r="H561" s="25" t="n"/>
      <c r="I561" s="25" t="n"/>
      <c r="J561" s="25" t="n"/>
      <c r="K561" s="37" t="n"/>
      <c r="L561" s="37" t="n"/>
      <c r="M561" s="37" t="n"/>
      <c r="N561" s="10">
        <f>G561*2400+K561+L561+M561</f>
        <v/>
      </c>
      <c r="O561" s="10">
        <f>(K561+M561)/G561</f>
        <v/>
      </c>
      <c r="P561" s="10">
        <f>L561/G561</f>
        <v/>
      </c>
      <c r="Q561" s="10">
        <f>N561*D561/1000</f>
        <v/>
      </c>
      <c r="R561" s="11">
        <f>K561*D561/1000</f>
        <v/>
      </c>
      <c r="S561" s="11">
        <f>L561*D561/1000</f>
        <v/>
      </c>
    </row>
    <row r="562" ht="46.5" customHeight="1">
      <c r="A562" s="25" t="n"/>
      <c r="B562" s="25" t="n"/>
      <c r="C562" s="25" t="n"/>
      <c r="D562" s="25" t="n"/>
      <c r="E562" s="25" t="n"/>
      <c r="F562" s="25" t="n"/>
      <c r="G562" s="25" t="n"/>
      <c r="H562" s="25" t="n"/>
      <c r="I562" s="25" t="n"/>
      <c r="J562" s="25" t="n"/>
      <c r="K562" s="37" t="n"/>
      <c r="L562" s="37" t="n"/>
      <c r="M562" s="37" t="n"/>
      <c r="N562" s="10">
        <f>G562*2400+K562+L562+M562</f>
        <v/>
      </c>
      <c r="O562" s="10">
        <f>(K562+M562)/G562</f>
        <v/>
      </c>
      <c r="P562" s="10">
        <f>L562/G562</f>
        <v/>
      </c>
      <c r="Q562" s="10">
        <f>N562*D562/1000</f>
        <v/>
      </c>
      <c r="R562" s="11">
        <f>K562*D562/1000</f>
        <v/>
      </c>
      <c r="S562" s="11">
        <f>L562*D562/1000</f>
        <v/>
      </c>
    </row>
    <row r="563" ht="46.5" customHeight="1">
      <c r="A563" s="25" t="n"/>
      <c r="B563" s="25" t="n"/>
      <c r="C563" s="25" t="n"/>
      <c r="D563" s="25" t="n"/>
      <c r="E563" s="25" t="n"/>
      <c r="F563" s="25" t="n"/>
      <c r="G563" s="25" t="n"/>
      <c r="H563" s="25" t="n"/>
      <c r="I563" s="25" t="n"/>
      <c r="J563" s="25" t="n"/>
      <c r="K563" s="37" t="n"/>
      <c r="L563" s="37" t="n"/>
      <c r="M563" s="37" t="n"/>
      <c r="N563" s="10">
        <f>G563*2400+K563+L563+M563</f>
        <v/>
      </c>
      <c r="O563" s="10">
        <f>(K563+M563)/G563</f>
        <v/>
      </c>
      <c r="P563" s="10">
        <f>L563/G563</f>
        <v/>
      </c>
      <c r="Q563" s="10">
        <f>N563*D563/1000</f>
        <v/>
      </c>
      <c r="R563" s="11">
        <f>K563*D563/1000</f>
        <v/>
      </c>
      <c r="S563" s="11">
        <f>L563*D563/1000</f>
        <v/>
      </c>
    </row>
    <row r="564" ht="46.5" customHeight="1">
      <c r="A564" s="25" t="n"/>
      <c r="B564" s="25" t="n"/>
      <c r="C564" s="25" t="n"/>
      <c r="D564" s="25" t="n"/>
      <c r="E564" s="25" t="n"/>
      <c r="F564" s="25" t="n"/>
      <c r="G564" s="25" t="n"/>
      <c r="H564" s="25" t="n"/>
      <c r="I564" s="25" t="n"/>
      <c r="J564" s="25" t="n"/>
      <c r="K564" s="37" t="n"/>
      <c r="L564" s="37" t="n"/>
      <c r="M564" s="37" t="n"/>
      <c r="N564" s="10">
        <f>G564*2400+K564+L564+M564</f>
        <v/>
      </c>
      <c r="O564" s="10">
        <f>(K564+M564)/G564</f>
        <v/>
      </c>
      <c r="P564" s="10">
        <f>L564/G564</f>
        <v/>
      </c>
      <c r="Q564" s="10">
        <f>N564*D564/1000</f>
        <v/>
      </c>
      <c r="R564" s="11">
        <f>K564*D564/1000</f>
        <v/>
      </c>
      <c r="S564" s="11">
        <f>L564*D564/1000</f>
        <v/>
      </c>
    </row>
    <row r="565" ht="46.5" customHeight="1">
      <c r="A565" s="25" t="n"/>
      <c r="B565" s="25" t="n"/>
      <c r="C565" s="25" t="n"/>
      <c r="D565" s="25" t="n"/>
      <c r="E565" s="25" t="n"/>
      <c r="F565" s="25" t="n"/>
      <c r="G565" s="25" t="n"/>
      <c r="H565" s="25" t="n"/>
      <c r="I565" s="25" t="n"/>
      <c r="J565" s="25" t="n"/>
      <c r="K565" s="37" t="n"/>
      <c r="L565" s="37" t="n"/>
      <c r="M565" s="37" t="n"/>
      <c r="N565" s="10">
        <f>G565*2400+K565+L565+M565</f>
        <v/>
      </c>
      <c r="O565" s="10">
        <f>(K565+M565)/G565</f>
        <v/>
      </c>
      <c r="P565" s="10">
        <f>L565/G565</f>
        <v/>
      </c>
      <c r="Q565" s="10">
        <f>N565*D565/1000</f>
        <v/>
      </c>
      <c r="R565" s="11">
        <f>K565*D565/1000</f>
        <v/>
      </c>
      <c r="S565" s="11">
        <f>L565*D565/1000</f>
        <v/>
      </c>
    </row>
    <row r="566" ht="46.5" customHeight="1">
      <c r="A566" s="25" t="n"/>
      <c r="B566" s="25" t="n"/>
      <c r="C566" s="25" t="n"/>
      <c r="D566" s="25" t="n"/>
      <c r="E566" s="25" t="n"/>
      <c r="F566" s="25" t="n"/>
      <c r="G566" s="25" t="n"/>
      <c r="H566" s="25" t="n"/>
      <c r="I566" s="25" t="n"/>
      <c r="J566" s="25" t="n"/>
      <c r="K566" s="37" t="n"/>
      <c r="L566" s="37" t="n"/>
      <c r="M566" s="37" t="n"/>
      <c r="N566" s="10">
        <f>G566*2400+K566+L566+M566</f>
        <v/>
      </c>
      <c r="O566" s="10">
        <f>(K566+M566)/G566</f>
        <v/>
      </c>
      <c r="P566" s="10">
        <f>L566/G566</f>
        <v/>
      </c>
      <c r="Q566" s="10">
        <f>N566*D566/1000</f>
        <v/>
      </c>
      <c r="R566" s="11">
        <f>K566*D566/1000</f>
        <v/>
      </c>
      <c r="S566" s="11">
        <f>L566*D566/1000</f>
        <v/>
      </c>
    </row>
    <row r="567" ht="46.5" customHeight="1">
      <c r="A567" s="25" t="n"/>
      <c r="B567" s="25" t="n"/>
      <c r="C567" s="25" t="n"/>
      <c r="D567" s="25" t="n"/>
      <c r="E567" s="25" t="n"/>
      <c r="F567" s="25" t="n"/>
      <c r="G567" s="25" t="n"/>
      <c r="H567" s="25" t="n"/>
      <c r="I567" s="25" t="n"/>
      <c r="J567" s="25" t="n"/>
      <c r="K567" s="37" t="n"/>
      <c r="L567" s="37" t="n"/>
      <c r="M567" s="37" t="n"/>
      <c r="N567" s="10">
        <f>G567*2400+K567+L567+M567</f>
        <v/>
      </c>
      <c r="O567" s="10">
        <f>(K567+M567)/G567</f>
        <v/>
      </c>
      <c r="P567" s="10">
        <f>L567/G567</f>
        <v/>
      </c>
      <c r="Q567" s="10">
        <f>N567*D567/1000</f>
        <v/>
      </c>
      <c r="R567" s="11">
        <f>K567*D567/1000</f>
        <v/>
      </c>
      <c r="S567" s="11">
        <f>L567*D567/1000</f>
        <v/>
      </c>
    </row>
    <row r="568" ht="46.5" customHeight="1">
      <c r="A568" s="25" t="n"/>
      <c r="B568" s="25" t="n"/>
      <c r="C568" s="25" t="n"/>
      <c r="D568" s="25" t="n"/>
      <c r="E568" s="25" t="n"/>
      <c r="F568" s="25" t="n"/>
      <c r="G568" s="25" t="n"/>
      <c r="H568" s="25" t="n"/>
      <c r="I568" s="25" t="n"/>
      <c r="J568" s="25" t="n"/>
      <c r="K568" s="37" t="n"/>
      <c r="L568" s="37" t="n"/>
      <c r="M568" s="37" t="n"/>
      <c r="N568" s="10">
        <f>G568*2400+K568+L568+M568</f>
        <v/>
      </c>
      <c r="O568" s="10">
        <f>(K568+M568)/G568</f>
        <v/>
      </c>
      <c r="P568" s="10">
        <f>L568/G568</f>
        <v/>
      </c>
      <c r="Q568" s="10">
        <f>N568*D568/1000</f>
        <v/>
      </c>
      <c r="R568" s="11">
        <f>K568*D568/1000</f>
        <v/>
      </c>
      <c r="S568" s="11">
        <f>L568*D568/1000</f>
        <v/>
      </c>
    </row>
    <row r="569" ht="46.5" customHeight="1">
      <c r="A569" s="25" t="n"/>
      <c r="B569" s="25" t="n"/>
      <c r="C569" s="25" t="n"/>
      <c r="D569" s="25" t="n"/>
      <c r="E569" s="25" t="n"/>
      <c r="F569" s="25" t="n"/>
      <c r="G569" s="25" t="n"/>
      <c r="H569" s="25" t="n"/>
      <c r="I569" s="25" t="n"/>
      <c r="J569" s="25" t="n"/>
      <c r="K569" s="37" t="n"/>
      <c r="L569" s="37" t="n"/>
      <c r="M569" s="37" t="n"/>
      <c r="N569" s="10">
        <f>G569*2400+K569+L569+M569</f>
        <v/>
      </c>
      <c r="O569" s="10">
        <f>(K569+M569)/G569</f>
        <v/>
      </c>
      <c r="P569" s="10">
        <f>L569/G569</f>
        <v/>
      </c>
      <c r="Q569" s="10">
        <f>N569*D569/1000</f>
        <v/>
      </c>
      <c r="R569" s="11">
        <f>K569*D569/1000</f>
        <v/>
      </c>
      <c r="S569" s="11">
        <f>L569*D569/1000</f>
        <v/>
      </c>
    </row>
    <row r="570" ht="46.5" customHeight="1">
      <c r="A570" s="25" t="n"/>
      <c r="B570" s="25" t="n"/>
      <c r="C570" s="25" t="n"/>
      <c r="D570" s="25" t="n"/>
      <c r="E570" s="25" t="n"/>
      <c r="F570" s="25" t="n"/>
      <c r="G570" s="25" t="n"/>
      <c r="H570" s="25" t="n"/>
      <c r="I570" s="25" t="n"/>
      <c r="J570" s="25" t="n"/>
      <c r="K570" s="37" t="n"/>
      <c r="L570" s="37" t="n"/>
      <c r="M570" s="37" t="n"/>
      <c r="N570" s="10">
        <f>G570*2400+K570+L570+M570</f>
        <v/>
      </c>
      <c r="O570" s="10">
        <f>(K570+M570)/G570</f>
        <v/>
      </c>
      <c r="P570" s="10">
        <f>L570/G570</f>
        <v/>
      </c>
      <c r="Q570" s="10">
        <f>N570*D570/1000</f>
        <v/>
      </c>
      <c r="R570" s="11">
        <f>K570*D570/1000</f>
        <v/>
      </c>
      <c r="S570" s="11">
        <f>L570*D570/1000</f>
        <v/>
      </c>
    </row>
    <row r="571" ht="46.5" customHeight="1">
      <c r="A571" s="25" t="n"/>
      <c r="B571" s="25" t="n"/>
      <c r="C571" s="25" t="n"/>
      <c r="D571" s="25" t="n"/>
      <c r="E571" s="25" t="n"/>
      <c r="F571" s="25" t="n"/>
      <c r="G571" s="25" t="n"/>
      <c r="H571" s="25" t="n"/>
      <c r="I571" s="25" t="n"/>
      <c r="J571" s="25" t="n"/>
      <c r="K571" s="37" t="n"/>
      <c r="L571" s="37" t="n"/>
      <c r="M571" s="37" t="n"/>
      <c r="N571" s="10">
        <f>G571*2400+K571+L571+M571</f>
        <v/>
      </c>
      <c r="O571" s="10">
        <f>(K571+M571)/G571</f>
        <v/>
      </c>
      <c r="P571" s="10">
        <f>L571/G571</f>
        <v/>
      </c>
      <c r="Q571" s="10">
        <f>N571*D571/1000</f>
        <v/>
      </c>
      <c r="R571" s="11">
        <f>K571*D571/1000</f>
        <v/>
      </c>
      <c r="S571" s="11">
        <f>L571*D571/1000</f>
        <v/>
      </c>
    </row>
    <row r="572" ht="46.5" customHeight="1">
      <c r="A572" s="25" t="n"/>
      <c r="B572" s="25" t="n"/>
      <c r="C572" s="25" t="n"/>
      <c r="D572" s="25" t="n"/>
      <c r="E572" s="25" t="n"/>
      <c r="F572" s="25" t="n"/>
      <c r="G572" s="25" t="n"/>
      <c r="H572" s="25" t="n"/>
      <c r="I572" s="25" t="n"/>
      <c r="J572" s="25" t="n"/>
      <c r="K572" s="37" t="n"/>
      <c r="L572" s="37" t="n"/>
      <c r="M572" s="37" t="n"/>
      <c r="N572" s="10">
        <f>G572*2400+K572+L572+M572</f>
        <v/>
      </c>
      <c r="O572" s="10">
        <f>(K572+M572)/G572</f>
        <v/>
      </c>
      <c r="P572" s="10">
        <f>L572/G572</f>
        <v/>
      </c>
      <c r="Q572" s="10">
        <f>N572*D572/1000</f>
        <v/>
      </c>
      <c r="R572" s="11">
        <f>K572*D572/1000</f>
        <v/>
      </c>
      <c r="S572" s="11">
        <f>L572*D572/1000</f>
        <v/>
      </c>
    </row>
    <row r="573" ht="46.5" customHeight="1">
      <c r="A573" s="25" t="n"/>
      <c r="B573" s="25" t="n"/>
      <c r="C573" s="25" t="n"/>
      <c r="D573" s="25" t="n"/>
      <c r="E573" s="25" t="n"/>
      <c r="F573" s="25" t="n"/>
      <c r="G573" s="25" t="n"/>
      <c r="H573" s="25" t="n"/>
      <c r="I573" s="25" t="n"/>
      <c r="J573" s="25" t="n"/>
      <c r="K573" s="37" t="n"/>
      <c r="L573" s="37" t="n"/>
      <c r="M573" s="37" t="n"/>
      <c r="N573" s="10">
        <f>G573*2400+K573+L573+M573</f>
        <v/>
      </c>
      <c r="O573" s="10">
        <f>(K573+M573)/G573</f>
        <v/>
      </c>
      <c r="P573" s="10">
        <f>L573/G573</f>
        <v/>
      </c>
      <c r="Q573" s="10">
        <f>N573*D573/1000</f>
        <v/>
      </c>
      <c r="R573" s="11">
        <f>K573*D573/1000</f>
        <v/>
      </c>
      <c r="S573" s="11">
        <f>L573*D573/1000</f>
        <v/>
      </c>
    </row>
    <row r="574" ht="46.5" customHeight="1">
      <c r="A574" s="25" t="n"/>
      <c r="B574" s="25" t="n"/>
      <c r="C574" s="25" t="n"/>
      <c r="D574" s="25" t="n"/>
      <c r="E574" s="25" t="n"/>
      <c r="F574" s="25" t="n"/>
      <c r="G574" s="25" t="n"/>
      <c r="H574" s="25" t="n"/>
      <c r="I574" s="25" t="n"/>
      <c r="J574" s="25" t="n"/>
      <c r="K574" s="37" t="n"/>
      <c r="L574" s="37" t="n"/>
      <c r="M574" s="37" t="n"/>
      <c r="N574" s="10">
        <f>G574*2400+K574+L574+M574</f>
        <v/>
      </c>
      <c r="O574" s="10">
        <f>(K574+M574)/G574</f>
        <v/>
      </c>
      <c r="P574" s="10">
        <f>L574/G574</f>
        <v/>
      </c>
      <c r="Q574" s="10">
        <f>N574*D574/1000</f>
        <v/>
      </c>
      <c r="R574" s="11">
        <f>K574*D574/1000</f>
        <v/>
      </c>
      <c r="S574" s="11">
        <f>L574*D574/1000</f>
        <v/>
      </c>
    </row>
    <row r="575" ht="46.5" customHeight="1">
      <c r="A575" s="25" t="n"/>
      <c r="B575" s="25" t="n"/>
      <c r="C575" s="25" t="n"/>
      <c r="D575" s="25" t="n"/>
      <c r="E575" s="25" t="n"/>
      <c r="F575" s="25" t="n"/>
      <c r="G575" s="25" t="n"/>
      <c r="H575" s="25" t="n"/>
      <c r="I575" s="25" t="n"/>
      <c r="J575" s="25" t="n"/>
      <c r="K575" s="37" t="n"/>
      <c r="L575" s="37" t="n"/>
      <c r="M575" s="37" t="n"/>
      <c r="N575" s="10">
        <f>G575*2400+K575+L575+M575</f>
        <v/>
      </c>
      <c r="O575" s="10">
        <f>(K575+M575)/G575</f>
        <v/>
      </c>
      <c r="P575" s="10">
        <f>L575/G575</f>
        <v/>
      </c>
      <c r="Q575" s="10">
        <f>N575*D575/1000</f>
        <v/>
      </c>
      <c r="R575" s="11">
        <f>K575*D575/1000</f>
        <v/>
      </c>
      <c r="S575" s="11">
        <f>L575*D575/1000</f>
        <v/>
      </c>
    </row>
    <row r="576" ht="46.5" customHeight="1">
      <c r="A576" s="25" t="n"/>
      <c r="B576" s="25" t="n"/>
      <c r="C576" s="25" t="n"/>
      <c r="D576" s="25" t="n"/>
      <c r="E576" s="25" t="n"/>
      <c r="F576" s="25" t="n"/>
      <c r="G576" s="25" t="n"/>
      <c r="H576" s="25" t="n"/>
      <c r="I576" s="25" t="n"/>
      <c r="J576" s="25" t="n"/>
      <c r="K576" s="37" t="n"/>
      <c r="L576" s="37" t="n"/>
      <c r="M576" s="37" t="n"/>
      <c r="N576" s="10">
        <f>G576*2400+K576+L576+M576</f>
        <v/>
      </c>
      <c r="O576" s="10">
        <f>(K576+M576)/G576</f>
        <v/>
      </c>
      <c r="P576" s="10">
        <f>L576/G576</f>
        <v/>
      </c>
      <c r="Q576" s="10">
        <f>N576*D576/1000</f>
        <v/>
      </c>
      <c r="R576" s="11">
        <f>K576*D576/1000</f>
        <v/>
      </c>
      <c r="S576" s="11">
        <f>L576*D576/1000</f>
        <v/>
      </c>
    </row>
    <row r="577" ht="46.5" customHeight="1">
      <c r="A577" s="25" t="n"/>
      <c r="B577" s="25" t="n"/>
      <c r="C577" s="25" t="n"/>
      <c r="D577" s="25" t="n"/>
      <c r="E577" s="25" t="n"/>
      <c r="F577" s="25" t="n"/>
      <c r="G577" s="25" t="n"/>
      <c r="H577" s="25" t="n"/>
      <c r="I577" s="25" t="n"/>
      <c r="J577" s="25" t="n"/>
      <c r="K577" s="37" t="n"/>
      <c r="L577" s="37" t="n"/>
      <c r="M577" s="37" t="n"/>
      <c r="N577" s="10">
        <f>G577*2400+K577+L577+M577</f>
        <v/>
      </c>
      <c r="O577" s="10">
        <f>(K577+M577)/G577</f>
        <v/>
      </c>
      <c r="P577" s="10">
        <f>L577/G577</f>
        <v/>
      </c>
      <c r="Q577" s="10">
        <f>N577*D577/1000</f>
        <v/>
      </c>
      <c r="R577" s="11">
        <f>K577*D577/1000</f>
        <v/>
      </c>
      <c r="S577" s="11">
        <f>L577*D577/1000</f>
        <v/>
      </c>
    </row>
    <row r="578" ht="46.5" customHeight="1">
      <c r="A578" s="25" t="n"/>
      <c r="B578" s="25" t="n"/>
      <c r="C578" s="25" t="n"/>
      <c r="D578" s="25" t="n"/>
      <c r="E578" s="25" t="n"/>
      <c r="F578" s="25" t="n"/>
      <c r="G578" s="25" t="n"/>
      <c r="H578" s="25" t="n"/>
      <c r="I578" s="25" t="n"/>
      <c r="J578" s="25" t="n"/>
      <c r="K578" s="37" t="n"/>
      <c r="L578" s="37" t="n"/>
      <c r="M578" s="37" t="n"/>
      <c r="N578" s="10">
        <f>G578*2400+K578+L578+M578</f>
        <v/>
      </c>
      <c r="O578" s="10">
        <f>(K578+M578)/G578</f>
        <v/>
      </c>
      <c r="P578" s="10">
        <f>L578/G578</f>
        <v/>
      </c>
      <c r="Q578" s="10">
        <f>N578*D578/1000</f>
        <v/>
      </c>
      <c r="R578" s="11">
        <f>K578*D578/1000</f>
        <v/>
      </c>
      <c r="S578" s="11">
        <f>L578*D578/1000</f>
        <v/>
      </c>
    </row>
    <row r="579" ht="46.5" customHeight="1">
      <c r="A579" s="25" t="n"/>
      <c r="B579" s="25" t="n"/>
      <c r="C579" s="25" t="n"/>
      <c r="D579" s="25" t="n"/>
      <c r="E579" s="25" t="n"/>
      <c r="F579" s="25" t="n"/>
      <c r="G579" s="25" t="n"/>
      <c r="H579" s="25" t="n"/>
      <c r="I579" s="25" t="n"/>
      <c r="J579" s="25" t="n"/>
      <c r="K579" s="37" t="n"/>
      <c r="L579" s="37" t="n"/>
      <c r="M579" s="37" t="n"/>
      <c r="N579" s="10">
        <f>G579*2400+K579+L579+M579</f>
        <v/>
      </c>
      <c r="O579" s="10">
        <f>(K579+M579)/G579</f>
        <v/>
      </c>
      <c r="P579" s="10">
        <f>L579/G579</f>
        <v/>
      </c>
      <c r="Q579" s="10">
        <f>N579*D579/1000</f>
        <v/>
      </c>
      <c r="R579" s="11">
        <f>K579*D579/1000</f>
        <v/>
      </c>
      <c r="S579" s="11">
        <f>L579*D579/1000</f>
        <v/>
      </c>
    </row>
    <row r="580" ht="46.5" customHeight="1">
      <c r="A580" s="25" t="n"/>
      <c r="B580" s="25" t="n"/>
      <c r="C580" s="25" t="n"/>
      <c r="D580" s="25" t="n"/>
      <c r="E580" s="25" t="n"/>
      <c r="F580" s="25" t="n"/>
      <c r="G580" s="25" t="n"/>
      <c r="H580" s="25" t="n"/>
      <c r="I580" s="25" t="n"/>
      <c r="J580" s="25" t="n"/>
      <c r="K580" s="37" t="n"/>
      <c r="L580" s="37" t="n"/>
      <c r="M580" s="37" t="n"/>
      <c r="N580" s="10">
        <f>G580*2400+K580+L580+M580</f>
        <v/>
      </c>
      <c r="O580" s="10">
        <f>(K580+M580)/G580</f>
        <v/>
      </c>
      <c r="P580" s="10">
        <f>L580/G580</f>
        <v/>
      </c>
      <c r="Q580" s="10">
        <f>N580*D580/1000</f>
        <v/>
      </c>
      <c r="R580" s="11">
        <f>K580*D580/1000</f>
        <v/>
      </c>
      <c r="S580" s="11">
        <f>L580*D580/1000</f>
        <v/>
      </c>
    </row>
    <row r="581" ht="46.5" customHeight="1">
      <c r="A581" s="25" t="n"/>
      <c r="B581" s="25" t="n"/>
      <c r="C581" s="25" t="n"/>
      <c r="D581" s="25" t="n"/>
      <c r="E581" s="25" t="n"/>
      <c r="F581" s="25" t="n"/>
      <c r="G581" s="25" t="n"/>
      <c r="H581" s="25" t="n"/>
      <c r="I581" s="25" t="n"/>
      <c r="J581" s="25" t="n"/>
      <c r="K581" s="37" t="n"/>
      <c r="L581" s="37" t="n"/>
      <c r="M581" s="37" t="n"/>
      <c r="N581" s="10">
        <f>G581*2400+K581+L581+M581</f>
        <v/>
      </c>
      <c r="O581" s="10">
        <f>(K581+M581)/G581</f>
        <v/>
      </c>
      <c r="P581" s="10">
        <f>L581/G581</f>
        <v/>
      </c>
      <c r="Q581" s="10">
        <f>N581*D581/1000</f>
        <v/>
      </c>
      <c r="R581" s="11">
        <f>K581*D581/1000</f>
        <v/>
      </c>
      <c r="S581" s="11">
        <f>L581*D581/1000</f>
        <v/>
      </c>
    </row>
    <row r="582" ht="46.5" customHeight="1">
      <c r="A582" s="25" t="n"/>
      <c r="B582" s="25" t="n"/>
      <c r="C582" s="25" t="n"/>
      <c r="D582" s="25" t="n"/>
      <c r="E582" s="25" t="n"/>
      <c r="F582" s="25" t="n"/>
      <c r="G582" s="25" t="n"/>
      <c r="H582" s="25" t="n"/>
      <c r="I582" s="25" t="n"/>
      <c r="J582" s="25" t="n"/>
      <c r="K582" s="37" t="n"/>
      <c r="L582" s="37" t="n"/>
      <c r="M582" s="37" t="n"/>
      <c r="N582" s="10">
        <f>G582*2400+K582+L582+M582</f>
        <v/>
      </c>
      <c r="O582" s="10">
        <f>(K582+M582)/G582</f>
        <v/>
      </c>
      <c r="P582" s="10">
        <f>L582/G582</f>
        <v/>
      </c>
      <c r="Q582" s="10">
        <f>N582*D582/1000</f>
        <v/>
      </c>
      <c r="R582" s="11">
        <f>K582*D582/1000</f>
        <v/>
      </c>
      <c r="S582" s="11">
        <f>L582*D582/1000</f>
        <v/>
      </c>
    </row>
    <row r="583" ht="46.5" customHeight="1">
      <c r="A583" s="25" t="n"/>
      <c r="B583" s="25" t="n"/>
      <c r="C583" s="25" t="n"/>
      <c r="D583" s="25" t="n"/>
      <c r="E583" s="25" t="n"/>
      <c r="F583" s="25" t="n"/>
      <c r="G583" s="25" t="n"/>
      <c r="H583" s="25" t="n"/>
      <c r="I583" s="25" t="n"/>
      <c r="J583" s="25" t="n"/>
      <c r="K583" s="37" t="n"/>
      <c r="L583" s="37" t="n"/>
      <c r="M583" s="37" t="n"/>
      <c r="N583" s="10">
        <f>G583*2400+K583+L583+M583</f>
        <v/>
      </c>
      <c r="O583" s="10">
        <f>(K583+M583)/G583</f>
        <v/>
      </c>
      <c r="P583" s="10">
        <f>L583/G583</f>
        <v/>
      </c>
      <c r="Q583" s="10">
        <f>N583*D583/1000</f>
        <v/>
      </c>
      <c r="R583" s="11">
        <f>K583*D583/1000</f>
        <v/>
      </c>
      <c r="S583" s="11">
        <f>L583*D583/1000</f>
        <v/>
      </c>
    </row>
    <row r="584" ht="46.5" customHeight="1">
      <c r="A584" s="25" t="n"/>
      <c r="B584" s="25" t="n"/>
      <c r="C584" s="25" t="n"/>
      <c r="D584" s="25" t="n"/>
      <c r="E584" s="25" t="n"/>
      <c r="F584" s="25" t="n"/>
      <c r="G584" s="25" t="n"/>
      <c r="H584" s="25" t="n"/>
      <c r="I584" s="25" t="n"/>
      <c r="J584" s="25" t="n"/>
      <c r="K584" s="37" t="n"/>
      <c r="L584" s="37" t="n"/>
      <c r="M584" s="37" t="n"/>
      <c r="N584" s="10">
        <f>G584*2400+K584+L584+M584</f>
        <v/>
      </c>
      <c r="O584" s="10">
        <f>(K584+M584)/G584</f>
        <v/>
      </c>
      <c r="P584" s="10">
        <f>L584/G584</f>
        <v/>
      </c>
      <c r="Q584" s="10">
        <f>N584*D584/1000</f>
        <v/>
      </c>
      <c r="R584" s="11">
        <f>K584*D584/1000</f>
        <v/>
      </c>
      <c r="S584" s="11">
        <f>L584*D584/1000</f>
        <v/>
      </c>
    </row>
    <row r="585" ht="46.5" customHeight="1">
      <c r="A585" s="25" t="n"/>
      <c r="B585" s="25" t="n"/>
      <c r="C585" s="25" t="n"/>
      <c r="D585" s="25" t="n"/>
      <c r="E585" s="25" t="n"/>
      <c r="F585" s="25" t="n"/>
      <c r="G585" s="25" t="n"/>
      <c r="H585" s="25" t="n"/>
      <c r="I585" s="25" t="n"/>
      <c r="J585" s="25" t="n"/>
      <c r="K585" s="37" t="n"/>
      <c r="L585" s="37" t="n"/>
      <c r="M585" s="37" t="n"/>
      <c r="N585" s="10">
        <f>G585*2400+K585+L585+M585</f>
        <v/>
      </c>
      <c r="O585" s="10">
        <f>(K585+M585)/G585</f>
        <v/>
      </c>
      <c r="P585" s="10">
        <f>L585/G585</f>
        <v/>
      </c>
      <c r="Q585" s="10">
        <f>N585*D585/1000</f>
        <v/>
      </c>
      <c r="R585" s="11">
        <f>K585*D585/1000</f>
        <v/>
      </c>
      <c r="S585" s="11">
        <f>L585*D585/1000</f>
        <v/>
      </c>
    </row>
    <row r="586" ht="46.5" customHeight="1">
      <c r="A586" s="25" t="n"/>
      <c r="B586" s="25" t="n"/>
      <c r="C586" s="25" t="n"/>
      <c r="D586" s="25" t="n"/>
      <c r="E586" s="25" t="n"/>
      <c r="F586" s="25" t="n"/>
      <c r="G586" s="25" t="n"/>
      <c r="H586" s="25" t="n"/>
      <c r="I586" s="25" t="n"/>
      <c r="J586" s="25" t="n"/>
      <c r="K586" s="37" t="n"/>
      <c r="L586" s="37" t="n"/>
      <c r="M586" s="37" t="n"/>
      <c r="N586" s="10">
        <f>G586*2400+K586+L586+M586</f>
        <v/>
      </c>
      <c r="O586" s="10">
        <f>(K586+M586)/G586</f>
        <v/>
      </c>
      <c r="P586" s="10">
        <f>L586/G586</f>
        <v/>
      </c>
      <c r="Q586" s="10">
        <f>N586*D586/1000</f>
        <v/>
      </c>
      <c r="R586" s="11">
        <f>K586*D586/1000</f>
        <v/>
      </c>
      <c r="S586" s="11">
        <f>L586*D586/1000</f>
        <v/>
      </c>
    </row>
    <row r="587" ht="46.5" customHeight="1">
      <c r="A587" s="25" t="n"/>
      <c r="B587" s="25" t="n"/>
      <c r="C587" s="25" t="n"/>
      <c r="D587" s="25" t="n"/>
      <c r="E587" s="25" t="n"/>
      <c r="F587" s="25" t="n"/>
      <c r="G587" s="25" t="n"/>
      <c r="H587" s="25" t="n"/>
      <c r="I587" s="25" t="n"/>
      <c r="J587" s="25" t="n"/>
      <c r="K587" s="37" t="n"/>
      <c r="L587" s="37" t="n"/>
      <c r="M587" s="37" t="n"/>
      <c r="N587" s="10">
        <f>G587*2400+K587+L587+M587</f>
        <v/>
      </c>
      <c r="O587" s="10">
        <f>(K587+M587)/G587</f>
        <v/>
      </c>
      <c r="P587" s="10">
        <f>L587/G587</f>
        <v/>
      </c>
      <c r="Q587" s="10">
        <f>N587*D587/1000</f>
        <v/>
      </c>
      <c r="R587" s="11">
        <f>K587*D587/1000</f>
        <v/>
      </c>
      <c r="S587" s="11">
        <f>L587*D587/1000</f>
        <v/>
      </c>
    </row>
    <row r="588" ht="46.5" customHeight="1">
      <c r="A588" s="25" t="n"/>
      <c r="B588" s="25" t="n"/>
      <c r="C588" s="25" t="n"/>
      <c r="D588" s="25" t="n"/>
      <c r="E588" s="25" t="n"/>
      <c r="F588" s="25" t="n"/>
      <c r="G588" s="25" t="n"/>
      <c r="H588" s="25" t="n"/>
      <c r="I588" s="25" t="n"/>
      <c r="J588" s="25" t="n"/>
      <c r="K588" s="37" t="n"/>
      <c r="L588" s="37" t="n"/>
      <c r="M588" s="37" t="n"/>
      <c r="N588" s="10">
        <f>G588*2400+K588+L588+M588</f>
        <v/>
      </c>
      <c r="O588" s="10">
        <f>(K588+M588)/G588</f>
        <v/>
      </c>
      <c r="P588" s="10">
        <f>L588/G588</f>
        <v/>
      </c>
      <c r="Q588" s="10">
        <f>N588*D588/1000</f>
        <v/>
      </c>
      <c r="R588" s="11">
        <f>K588*D588/1000</f>
        <v/>
      </c>
      <c r="S588" s="11">
        <f>L588*D588/1000</f>
        <v/>
      </c>
    </row>
    <row r="589" ht="46.5" customHeight="1">
      <c r="A589" s="25" t="n"/>
      <c r="B589" s="25" t="n"/>
      <c r="C589" s="25" t="n"/>
      <c r="D589" s="25" t="n"/>
      <c r="E589" s="25" t="n"/>
      <c r="F589" s="25" t="n"/>
      <c r="G589" s="25" t="n"/>
      <c r="H589" s="25" t="n"/>
      <c r="I589" s="25" t="n"/>
      <c r="J589" s="25" t="n"/>
      <c r="K589" s="37" t="n"/>
      <c r="L589" s="37" t="n"/>
      <c r="M589" s="37" t="n"/>
      <c r="N589" s="10">
        <f>G589*2400+K589+L589+M589</f>
        <v/>
      </c>
      <c r="O589" s="10">
        <f>(K589+M589)/G589</f>
        <v/>
      </c>
      <c r="P589" s="10">
        <f>L589/G589</f>
        <v/>
      </c>
      <c r="Q589" s="10">
        <f>N589*D589/1000</f>
        <v/>
      </c>
      <c r="R589" s="11">
        <f>K589*D589/1000</f>
        <v/>
      </c>
      <c r="S589" s="11">
        <f>L589*D589/1000</f>
        <v/>
      </c>
    </row>
    <row r="590" ht="46.5" customHeight="1">
      <c r="A590" s="25" t="n"/>
      <c r="B590" s="25" t="n"/>
      <c r="C590" s="25" t="n"/>
      <c r="D590" s="25" t="n"/>
      <c r="E590" s="25" t="n"/>
      <c r="F590" s="25" t="n"/>
      <c r="G590" s="25" t="n"/>
      <c r="H590" s="25" t="n"/>
      <c r="I590" s="25" t="n"/>
      <c r="J590" s="25" t="n"/>
      <c r="K590" s="37" t="n"/>
      <c r="L590" s="37" t="n"/>
      <c r="M590" s="37" t="n"/>
      <c r="N590" s="10">
        <f>G590*2400+K590+L590+M590</f>
        <v/>
      </c>
      <c r="O590" s="10">
        <f>(K590+M590)/G590</f>
        <v/>
      </c>
      <c r="P590" s="10">
        <f>L590/G590</f>
        <v/>
      </c>
      <c r="Q590" s="10">
        <f>N590*D590/1000</f>
        <v/>
      </c>
      <c r="R590" s="11">
        <f>K590*D590/1000</f>
        <v/>
      </c>
      <c r="S590" s="11">
        <f>L590*D590/1000</f>
        <v/>
      </c>
    </row>
    <row r="591" ht="46.5" customHeight="1">
      <c r="A591" s="25" t="n"/>
      <c r="B591" s="25" t="n"/>
      <c r="C591" s="25" t="n"/>
      <c r="D591" s="25" t="n"/>
      <c r="E591" s="25" t="n"/>
      <c r="F591" s="25" t="n"/>
      <c r="G591" s="25" t="n"/>
      <c r="H591" s="25" t="n"/>
      <c r="I591" s="25" t="n"/>
      <c r="J591" s="25" t="n"/>
      <c r="K591" s="37" t="n"/>
      <c r="L591" s="37" t="n"/>
      <c r="M591" s="37" t="n"/>
      <c r="N591" s="10">
        <f>G591*2400+K591+L591+M591</f>
        <v/>
      </c>
      <c r="O591" s="10">
        <f>(K591+M591)/G591</f>
        <v/>
      </c>
      <c r="P591" s="10">
        <f>L591/G591</f>
        <v/>
      </c>
      <c r="Q591" s="10">
        <f>N591*D591/1000</f>
        <v/>
      </c>
      <c r="R591" s="11">
        <f>K591*D591/1000</f>
        <v/>
      </c>
      <c r="S591" s="11">
        <f>L591*D591/1000</f>
        <v/>
      </c>
    </row>
    <row r="592" ht="46.5" customHeight="1">
      <c r="A592" s="25" t="n"/>
      <c r="B592" s="25" t="n"/>
      <c r="C592" s="25" t="n"/>
      <c r="D592" s="25" t="n"/>
      <c r="E592" s="25" t="n"/>
      <c r="F592" s="25" t="n"/>
      <c r="G592" s="25" t="n"/>
      <c r="H592" s="25" t="n"/>
      <c r="I592" s="25" t="n"/>
      <c r="J592" s="25" t="n"/>
      <c r="K592" s="37" t="n"/>
      <c r="L592" s="37" t="n"/>
      <c r="M592" s="37" t="n"/>
      <c r="N592" s="10">
        <f>G592*2400+K592+L592+M592</f>
        <v/>
      </c>
      <c r="O592" s="10">
        <f>(K592+M592)/G592</f>
        <v/>
      </c>
      <c r="P592" s="10">
        <f>L592/G592</f>
        <v/>
      </c>
      <c r="Q592" s="10">
        <f>N592*D592/1000</f>
        <v/>
      </c>
      <c r="R592" s="11">
        <f>K592*D592/1000</f>
        <v/>
      </c>
      <c r="S592" s="11">
        <f>L592*D592/1000</f>
        <v/>
      </c>
    </row>
    <row r="593" ht="46.5" customHeight="1">
      <c r="A593" s="25" t="n"/>
      <c r="B593" s="25" t="n"/>
      <c r="C593" s="25" t="n"/>
      <c r="D593" s="25" t="n"/>
      <c r="E593" s="25" t="n"/>
      <c r="F593" s="25" t="n"/>
      <c r="G593" s="25" t="n"/>
      <c r="H593" s="25" t="n"/>
      <c r="I593" s="25" t="n"/>
      <c r="J593" s="25" t="n"/>
      <c r="K593" s="37" t="n"/>
      <c r="L593" s="37" t="n"/>
      <c r="M593" s="37" t="n"/>
      <c r="N593" s="10">
        <f>G593*2400+K593+L593+M593</f>
        <v/>
      </c>
      <c r="O593" s="10">
        <f>(K593+M593)/G593</f>
        <v/>
      </c>
      <c r="P593" s="10">
        <f>L593/G593</f>
        <v/>
      </c>
      <c r="Q593" s="10">
        <f>N593*D593/1000</f>
        <v/>
      </c>
      <c r="R593" s="11">
        <f>K593*D593/1000</f>
        <v/>
      </c>
      <c r="S593" s="11">
        <f>L593*D593/1000</f>
        <v/>
      </c>
    </row>
    <row r="594" ht="46.5" customHeight="1">
      <c r="A594" s="25" t="n"/>
      <c r="B594" s="25" t="n"/>
      <c r="C594" s="25" t="n"/>
      <c r="D594" s="25" t="n"/>
      <c r="E594" s="25" t="n"/>
      <c r="F594" s="25" t="n"/>
      <c r="G594" s="25" t="n"/>
      <c r="H594" s="25" t="n"/>
      <c r="I594" s="25" t="n"/>
      <c r="J594" s="25" t="n"/>
      <c r="K594" s="37" t="n"/>
      <c r="L594" s="37" t="n"/>
      <c r="M594" s="37" t="n"/>
      <c r="N594" s="10">
        <f>G594*2400+K594+L594+M594</f>
        <v/>
      </c>
      <c r="O594" s="10">
        <f>(K594+M594)/G594</f>
        <v/>
      </c>
      <c r="P594" s="10">
        <f>L594/G594</f>
        <v/>
      </c>
      <c r="Q594" s="10">
        <f>N594*D594/1000</f>
        <v/>
      </c>
      <c r="R594" s="11">
        <f>K594*D594/1000</f>
        <v/>
      </c>
      <c r="S594" s="11">
        <f>L594*D594/1000</f>
        <v/>
      </c>
    </row>
    <row r="595" ht="46.5" customHeight="1">
      <c r="A595" s="25" t="n"/>
      <c r="B595" s="25" t="n"/>
      <c r="C595" s="25" t="n"/>
      <c r="D595" s="25" t="n"/>
      <c r="E595" s="25" t="n"/>
      <c r="F595" s="25" t="n"/>
      <c r="G595" s="25" t="n"/>
      <c r="H595" s="25" t="n"/>
      <c r="I595" s="25" t="n"/>
      <c r="J595" s="25" t="n"/>
      <c r="K595" s="37" t="n"/>
      <c r="L595" s="37" t="n"/>
      <c r="M595" s="37" t="n"/>
      <c r="N595" s="10">
        <f>G595*2400+K595+L595+M595</f>
        <v/>
      </c>
      <c r="O595" s="10">
        <f>(K595+M595)/G595</f>
        <v/>
      </c>
      <c r="P595" s="10">
        <f>L595/G595</f>
        <v/>
      </c>
      <c r="Q595" s="10">
        <f>N595*D595/1000</f>
        <v/>
      </c>
      <c r="R595" s="11">
        <f>K595*D595/1000</f>
        <v/>
      </c>
      <c r="S595" s="11">
        <f>L595*D595/1000</f>
        <v/>
      </c>
    </row>
    <row r="596" ht="46.5" customHeight="1">
      <c r="A596" s="25" t="n"/>
      <c r="B596" s="25" t="n"/>
      <c r="C596" s="25" t="n"/>
      <c r="D596" s="25" t="n"/>
      <c r="E596" s="25" t="n"/>
      <c r="F596" s="25" t="n"/>
      <c r="G596" s="25" t="n"/>
      <c r="H596" s="25" t="n"/>
      <c r="I596" s="25" t="n"/>
      <c r="J596" s="25" t="n"/>
      <c r="K596" s="37" t="n"/>
      <c r="L596" s="37" t="n"/>
      <c r="M596" s="37" t="n"/>
      <c r="N596" s="10">
        <f>G596*2400+K596+L596+M596</f>
        <v/>
      </c>
      <c r="O596" s="10">
        <f>(K596+M596)/G596</f>
        <v/>
      </c>
      <c r="P596" s="10">
        <f>L596/G596</f>
        <v/>
      </c>
      <c r="Q596" s="10">
        <f>N596*D596/1000</f>
        <v/>
      </c>
      <c r="R596" s="11">
        <f>K596*D596/1000</f>
        <v/>
      </c>
      <c r="S596" s="11">
        <f>L596*D596/1000</f>
        <v/>
      </c>
    </row>
    <row r="597" ht="46.5" customHeight="1">
      <c r="A597" s="25" t="n"/>
      <c r="B597" s="25" t="n"/>
      <c r="C597" s="25" t="n"/>
      <c r="D597" s="25" t="n"/>
      <c r="E597" s="25" t="n"/>
      <c r="F597" s="25" t="n"/>
      <c r="G597" s="25" t="n"/>
      <c r="H597" s="25" t="n"/>
      <c r="I597" s="25" t="n"/>
      <c r="J597" s="25" t="n"/>
      <c r="K597" s="37" t="n"/>
      <c r="L597" s="37" t="n"/>
      <c r="M597" s="37" t="n"/>
      <c r="N597" s="10">
        <f>G597*2400+K597+L597+M597</f>
        <v/>
      </c>
      <c r="O597" s="10">
        <f>(K597+M597)/G597</f>
        <v/>
      </c>
      <c r="P597" s="10">
        <f>L597/G597</f>
        <v/>
      </c>
      <c r="Q597" s="10">
        <f>N597*D597/1000</f>
        <v/>
      </c>
      <c r="R597" s="11">
        <f>K597*D597/1000</f>
        <v/>
      </c>
      <c r="S597" s="11">
        <f>L597*D597/1000</f>
        <v/>
      </c>
    </row>
    <row r="598" ht="46.5" customHeight="1">
      <c r="A598" s="25" t="n"/>
      <c r="B598" s="25" t="n"/>
      <c r="C598" s="25" t="n"/>
      <c r="D598" s="25" t="n"/>
      <c r="E598" s="25" t="n"/>
      <c r="F598" s="25" t="n"/>
      <c r="G598" s="25" t="n"/>
      <c r="H598" s="25" t="n"/>
      <c r="I598" s="25" t="n"/>
      <c r="J598" s="25" t="n"/>
      <c r="K598" s="37" t="n"/>
      <c r="L598" s="37" t="n"/>
      <c r="M598" s="37" t="n"/>
      <c r="N598" s="10">
        <f>G598*2400+K598+L598+M598</f>
        <v/>
      </c>
      <c r="O598" s="10">
        <f>(K598+M598)/G598</f>
        <v/>
      </c>
      <c r="P598" s="10">
        <f>L598/G598</f>
        <v/>
      </c>
      <c r="Q598" s="10">
        <f>N598*D598/1000</f>
        <v/>
      </c>
      <c r="R598" s="11">
        <f>K598*D598/1000</f>
        <v/>
      </c>
      <c r="S598" s="11">
        <f>L598*D598/1000</f>
        <v/>
      </c>
    </row>
    <row r="599" ht="46.5" customHeight="1">
      <c r="A599" s="25" t="n"/>
      <c r="B599" s="25" t="n"/>
      <c r="C599" s="25" t="n"/>
      <c r="D599" s="25" t="n"/>
      <c r="E599" s="25" t="n"/>
      <c r="F599" s="25" t="n"/>
      <c r="G599" s="25" t="n"/>
      <c r="H599" s="25" t="n"/>
      <c r="I599" s="25" t="n"/>
      <c r="J599" s="25" t="n"/>
      <c r="K599" s="37" t="n"/>
      <c r="L599" s="37" t="n"/>
      <c r="M599" s="37" t="n"/>
      <c r="N599" s="10">
        <f>G599*2400+K599+L599+M599</f>
        <v/>
      </c>
      <c r="O599" s="10">
        <f>(K599+M599)/G599</f>
        <v/>
      </c>
      <c r="P599" s="10">
        <f>L599/G599</f>
        <v/>
      </c>
      <c r="Q599" s="10">
        <f>N599*D599/1000</f>
        <v/>
      </c>
      <c r="R599" s="11">
        <f>K599*D599/1000</f>
        <v/>
      </c>
      <c r="S599" s="11">
        <f>L599*D599/1000</f>
        <v/>
      </c>
    </row>
    <row r="600" ht="46.5" customHeight="1">
      <c r="A600" s="25" t="n"/>
      <c r="B600" s="25" t="n"/>
      <c r="C600" s="25" t="n"/>
      <c r="D600" s="25" t="n"/>
      <c r="E600" s="25" t="n"/>
      <c r="F600" s="25" t="n"/>
      <c r="G600" s="25" t="n"/>
      <c r="H600" s="25" t="n"/>
      <c r="I600" s="25" t="n"/>
      <c r="J600" s="25" t="n"/>
      <c r="K600" s="37" t="n"/>
      <c r="L600" s="37" t="n"/>
      <c r="M600" s="37" t="n"/>
      <c r="N600" s="10">
        <f>G600*2400+K600+L600+M600</f>
        <v/>
      </c>
      <c r="O600" s="10">
        <f>(K600+M600)/G600</f>
        <v/>
      </c>
      <c r="P600" s="10">
        <f>L600/G600</f>
        <v/>
      </c>
      <c r="Q600" s="10">
        <f>N600*D600/1000</f>
        <v/>
      </c>
      <c r="R600" s="11">
        <f>K600*D600/1000</f>
        <v/>
      </c>
      <c r="S600" s="11">
        <f>L600*D600/1000</f>
        <v/>
      </c>
    </row>
    <row r="601" ht="46.5" customHeight="1">
      <c r="A601" s="25" t="n"/>
      <c r="B601" s="25" t="n"/>
      <c r="C601" s="25" t="n"/>
      <c r="D601" s="25" t="n"/>
      <c r="E601" s="25" t="n"/>
      <c r="F601" s="25" t="n"/>
      <c r="G601" s="25" t="n"/>
      <c r="H601" s="25" t="n"/>
      <c r="I601" s="25" t="n"/>
      <c r="J601" s="25" t="n"/>
      <c r="K601" s="37" t="n"/>
      <c r="L601" s="37" t="n"/>
      <c r="M601" s="37" t="n"/>
      <c r="N601" s="10">
        <f>G601*2400+K601+L601+M601</f>
        <v/>
      </c>
      <c r="O601" s="10">
        <f>(K601+M601)/G601</f>
        <v/>
      </c>
      <c r="P601" s="10">
        <f>L601/G601</f>
        <v/>
      </c>
      <c r="Q601" s="10">
        <f>N601*D601/1000</f>
        <v/>
      </c>
      <c r="R601" s="11">
        <f>K601*D601/1000</f>
        <v/>
      </c>
      <c r="S601" s="11">
        <f>L601*D601/1000</f>
        <v/>
      </c>
    </row>
    <row r="602" ht="46.5" customHeight="1">
      <c r="A602" s="25" t="n"/>
      <c r="B602" s="25" t="n"/>
      <c r="C602" s="25" t="n"/>
      <c r="D602" s="25" t="n"/>
      <c r="E602" s="25" t="n"/>
      <c r="F602" s="25" t="n"/>
      <c r="G602" s="25" t="n"/>
      <c r="H602" s="25" t="n"/>
      <c r="I602" s="25" t="n"/>
      <c r="J602" s="25" t="n"/>
      <c r="K602" s="37" t="n"/>
      <c r="L602" s="37" t="n"/>
      <c r="M602" s="37" t="n"/>
      <c r="N602" s="10">
        <f>G602*2400+K602+L602+M602</f>
        <v/>
      </c>
      <c r="O602" s="10">
        <f>(K602+M602)/G602</f>
        <v/>
      </c>
      <c r="P602" s="10">
        <f>L602/G602</f>
        <v/>
      </c>
      <c r="Q602" s="10">
        <f>N602*D602/1000</f>
        <v/>
      </c>
      <c r="R602" s="11">
        <f>K602*D602/1000</f>
        <v/>
      </c>
      <c r="S602" s="11">
        <f>L602*D602/1000</f>
        <v/>
      </c>
    </row>
    <row r="603" ht="46.5" customHeight="1">
      <c r="A603" s="25" t="n"/>
      <c r="B603" s="25" t="n"/>
      <c r="C603" s="25" t="n"/>
      <c r="D603" s="25" t="n"/>
      <c r="E603" s="25" t="n"/>
      <c r="F603" s="25" t="n"/>
      <c r="G603" s="25" t="n"/>
      <c r="H603" s="25" t="n"/>
      <c r="I603" s="25" t="n"/>
      <c r="J603" s="25" t="n"/>
      <c r="K603" s="37" t="n"/>
      <c r="L603" s="37" t="n"/>
      <c r="M603" s="37" t="n"/>
      <c r="N603" s="10">
        <f>G603*2400+K603+L603+M603</f>
        <v/>
      </c>
      <c r="O603" s="10">
        <f>(K603+M603)/G603</f>
        <v/>
      </c>
      <c r="P603" s="10">
        <f>L603/G603</f>
        <v/>
      </c>
      <c r="Q603" s="10">
        <f>N603*D603/1000</f>
        <v/>
      </c>
      <c r="R603" s="11">
        <f>K603*D603/1000</f>
        <v/>
      </c>
      <c r="S603" s="11">
        <f>L603*D603/1000</f>
        <v/>
      </c>
    </row>
    <row r="604" ht="46.5" customHeight="1">
      <c r="A604" s="25" t="n"/>
      <c r="B604" s="25" t="n"/>
      <c r="C604" s="25" t="n"/>
      <c r="D604" s="25" t="n"/>
      <c r="E604" s="25" t="n"/>
      <c r="F604" s="25" t="n"/>
      <c r="G604" s="25" t="n"/>
      <c r="H604" s="25" t="n"/>
      <c r="I604" s="25" t="n"/>
      <c r="J604" s="25" t="n"/>
      <c r="K604" s="37" t="n"/>
      <c r="L604" s="37" t="n"/>
      <c r="M604" s="37" t="n"/>
      <c r="N604" s="10">
        <f>G604*2400+K604+L604+M604</f>
        <v/>
      </c>
      <c r="O604" s="10">
        <f>(K604+M604)/G604</f>
        <v/>
      </c>
      <c r="P604" s="10">
        <f>L604/G604</f>
        <v/>
      </c>
      <c r="Q604" s="10">
        <f>N604*D604/1000</f>
        <v/>
      </c>
      <c r="R604" s="11">
        <f>K604*D604/1000</f>
        <v/>
      </c>
      <c r="S604" s="11">
        <f>L604*D604/1000</f>
        <v/>
      </c>
    </row>
    <row r="605" ht="46.5" customHeight="1">
      <c r="A605" s="25" t="n"/>
      <c r="B605" s="25" t="n"/>
      <c r="C605" s="25" t="n"/>
      <c r="D605" s="25" t="n"/>
      <c r="E605" s="25" t="n"/>
      <c r="F605" s="25" t="n"/>
      <c r="G605" s="25" t="n"/>
      <c r="H605" s="25" t="n"/>
      <c r="I605" s="25" t="n"/>
      <c r="J605" s="25" t="n"/>
      <c r="K605" s="37" t="n"/>
      <c r="L605" s="37" t="n"/>
      <c r="M605" s="37" t="n"/>
      <c r="N605" s="10">
        <f>G605*2400+K605+L605+M605</f>
        <v/>
      </c>
      <c r="O605" s="10">
        <f>(K605+M605)/G605</f>
        <v/>
      </c>
      <c r="P605" s="10">
        <f>L605/G605</f>
        <v/>
      </c>
      <c r="Q605" s="10">
        <f>N605*D605/1000</f>
        <v/>
      </c>
      <c r="R605" s="11">
        <f>K605*D605/1000</f>
        <v/>
      </c>
      <c r="S605" s="11">
        <f>L605*D605/1000</f>
        <v/>
      </c>
    </row>
    <row r="606" ht="46.5" customHeight="1">
      <c r="A606" s="25" t="n"/>
      <c r="B606" s="25" t="n"/>
      <c r="C606" s="25" t="n"/>
      <c r="D606" s="25" t="n"/>
      <c r="E606" s="25" t="n"/>
      <c r="F606" s="25" t="n"/>
      <c r="G606" s="25" t="n"/>
      <c r="H606" s="25" t="n"/>
      <c r="I606" s="25" t="n"/>
      <c r="J606" s="25" t="n"/>
      <c r="K606" s="37" t="n"/>
      <c r="L606" s="37" t="n"/>
      <c r="M606" s="37" t="n"/>
      <c r="N606" s="10">
        <f>G606*2400+K606+L606+M606</f>
        <v/>
      </c>
      <c r="O606" s="10">
        <f>(K606+M606)/G606</f>
        <v/>
      </c>
      <c r="P606" s="10">
        <f>L606/G606</f>
        <v/>
      </c>
      <c r="Q606" s="10">
        <f>N606*D606/1000</f>
        <v/>
      </c>
      <c r="R606" s="11">
        <f>K606*D606/1000</f>
        <v/>
      </c>
      <c r="S606" s="11">
        <f>L606*D606/1000</f>
        <v/>
      </c>
    </row>
    <row r="607" ht="46.5" customHeight="1">
      <c r="A607" s="25" t="n"/>
      <c r="B607" s="25" t="n"/>
      <c r="C607" s="25" t="n"/>
      <c r="D607" s="25" t="n"/>
      <c r="E607" s="25" t="n"/>
      <c r="F607" s="25" t="n"/>
      <c r="G607" s="25" t="n"/>
      <c r="H607" s="25" t="n"/>
      <c r="I607" s="25" t="n"/>
      <c r="J607" s="25" t="n"/>
      <c r="K607" s="37" t="n"/>
      <c r="L607" s="37" t="n"/>
      <c r="M607" s="37" t="n"/>
      <c r="N607" s="10">
        <f>G607*2400+K607+L607+M607</f>
        <v/>
      </c>
      <c r="O607" s="10">
        <f>(K607+M607)/G607</f>
        <v/>
      </c>
      <c r="P607" s="10">
        <f>L607/G607</f>
        <v/>
      </c>
      <c r="Q607" s="10">
        <f>N607*D607/1000</f>
        <v/>
      </c>
      <c r="R607" s="11">
        <f>K607*D607/1000</f>
        <v/>
      </c>
      <c r="S607" s="11">
        <f>L607*D607/1000</f>
        <v/>
      </c>
    </row>
    <row r="608" ht="46.5" customHeight="1">
      <c r="A608" s="25" t="n"/>
      <c r="B608" s="25" t="n"/>
      <c r="C608" s="25" t="n"/>
      <c r="D608" s="25" t="n"/>
      <c r="E608" s="25" t="n"/>
      <c r="F608" s="25" t="n"/>
      <c r="G608" s="25" t="n"/>
      <c r="H608" s="25" t="n"/>
      <c r="I608" s="25" t="n"/>
      <c r="J608" s="25" t="n"/>
      <c r="K608" s="37" t="n"/>
      <c r="L608" s="37" t="n"/>
      <c r="M608" s="37" t="n"/>
      <c r="N608" s="10">
        <f>G608*2400+K608+L608+M608</f>
        <v/>
      </c>
      <c r="O608" s="10">
        <f>(K608+M608)/G608</f>
        <v/>
      </c>
      <c r="P608" s="10">
        <f>L608/G608</f>
        <v/>
      </c>
      <c r="Q608" s="10">
        <f>N608*D608/1000</f>
        <v/>
      </c>
      <c r="R608" s="11">
        <f>K608*D608/1000</f>
        <v/>
      </c>
      <c r="S608" s="11">
        <f>L608*D608/1000</f>
        <v/>
      </c>
    </row>
    <row r="609" ht="46.5" customHeight="1">
      <c r="A609" s="25" t="n"/>
      <c r="B609" s="25" t="n"/>
      <c r="C609" s="25" t="n"/>
      <c r="D609" s="25" t="n"/>
      <c r="E609" s="25" t="n"/>
      <c r="F609" s="25" t="n"/>
      <c r="G609" s="25" t="n"/>
      <c r="H609" s="25" t="n"/>
      <c r="I609" s="25" t="n"/>
      <c r="J609" s="25" t="n"/>
      <c r="K609" s="37" t="n"/>
      <c r="L609" s="37" t="n"/>
      <c r="M609" s="37" t="n"/>
      <c r="N609" s="10">
        <f>G609*2400+K609+L609+M609</f>
        <v/>
      </c>
      <c r="O609" s="10">
        <f>(K609+M609)/G609</f>
        <v/>
      </c>
      <c r="P609" s="10">
        <f>L609/G609</f>
        <v/>
      </c>
      <c r="Q609" s="10">
        <f>N609*D609/1000</f>
        <v/>
      </c>
      <c r="R609" s="11">
        <f>K609*D609/1000</f>
        <v/>
      </c>
      <c r="S609" s="11">
        <f>L609*D609/1000</f>
        <v/>
      </c>
    </row>
    <row r="610" ht="46.5" customHeight="1">
      <c r="A610" s="25" t="n"/>
      <c r="B610" s="25" t="n"/>
      <c r="C610" s="25" t="n"/>
      <c r="D610" s="25" t="n"/>
      <c r="E610" s="25" t="n"/>
      <c r="F610" s="25" t="n"/>
      <c r="G610" s="25" t="n"/>
      <c r="H610" s="25" t="n"/>
      <c r="I610" s="25" t="n"/>
      <c r="J610" s="25" t="n"/>
      <c r="K610" s="37" t="n"/>
      <c r="L610" s="37" t="n"/>
      <c r="M610" s="37" t="n"/>
      <c r="N610" s="10">
        <f>G610*2400+K610+L610+M610</f>
        <v/>
      </c>
      <c r="O610" s="10">
        <f>(K610+M610)/G610</f>
        <v/>
      </c>
      <c r="P610" s="10">
        <f>L610/G610</f>
        <v/>
      </c>
      <c r="Q610" s="10">
        <f>N610*D610/1000</f>
        <v/>
      </c>
      <c r="R610" s="11">
        <f>K610*D610/1000</f>
        <v/>
      </c>
      <c r="S610" s="11">
        <f>L610*D610/1000</f>
        <v/>
      </c>
    </row>
    <row r="611" ht="46.5" customHeight="1">
      <c r="A611" s="25" t="n"/>
      <c r="B611" s="25" t="n"/>
      <c r="C611" s="25" t="n"/>
      <c r="D611" s="25" t="n"/>
      <c r="E611" s="25" t="n"/>
      <c r="F611" s="25" t="n"/>
      <c r="G611" s="25" t="n"/>
      <c r="H611" s="25" t="n"/>
      <c r="I611" s="25" t="n"/>
      <c r="J611" s="25" t="n"/>
      <c r="K611" s="37" t="n"/>
      <c r="L611" s="37" t="n"/>
      <c r="M611" s="37" t="n"/>
      <c r="N611" s="10">
        <f>G611*2400+K611+L611+M611</f>
        <v/>
      </c>
      <c r="O611" s="10">
        <f>(K611+M611)/G611</f>
        <v/>
      </c>
      <c r="P611" s="10">
        <f>L611/G611</f>
        <v/>
      </c>
      <c r="Q611" s="10">
        <f>N611*D611/1000</f>
        <v/>
      </c>
      <c r="R611" s="11">
        <f>K611*D611/1000</f>
        <v/>
      </c>
      <c r="S611" s="11">
        <f>L611*D611/1000</f>
        <v/>
      </c>
    </row>
    <row r="612" ht="46.5" customHeight="1">
      <c r="A612" s="25" t="n"/>
      <c r="B612" s="25" t="n"/>
      <c r="C612" s="25" t="n"/>
      <c r="D612" s="25" t="n"/>
      <c r="E612" s="25" t="n"/>
      <c r="F612" s="25" t="n"/>
      <c r="G612" s="25" t="n"/>
      <c r="H612" s="25" t="n"/>
      <c r="I612" s="25" t="n"/>
      <c r="J612" s="25" t="n"/>
      <c r="K612" s="37" t="n"/>
      <c r="L612" s="37" t="n"/>
      <c r="M612" s="37" t="n"/>
      <c r="N612" s="10">
        <f>G612*2400+K612+L612+M612</f>
        <v/>
      </c>
      <c r="O612" s="10">
        <f>(K612+M612)/G612</f>
        <v/>
      </c>
      <c r="P612" s="10">
        <f>L612/G612</f>
        <v/>
      </c>
      <c r="Q612" s="10">
        <f>N612*D612/1000</f>
        <v/>
      </c>
      <c r="R612" s="11">
        <f>K612*D612/1000</f>
        <v/>
      </c>
      <c r="S612" s="11">
        <f>L612*D612/1000</f>
        <v/>
      </c>
    </row>
    <row r="613" ht="46.5" customHeight="1">
      <c r="A613" s="25" t="n"/>
      <c r="B613" s="25" t="n"/>
      <c r="C613" s="25" t="n"/>
      <c r="D613" s="25" t="n"/>
      <c r="E613" s="25" t="n"/>
      <c r="F613" s="25" t="n"/>
      <c r="G613" s="25" t="n"/>
      <c r="H613" s="25" t="n"/>
      <c r="I613" s="25" t="n"/>
      <c r="J613" s="25" t="n"/>
      <c r="K613" s="37" t="n"/>
      <c r="L613" s="37" t="n"/>
      <c r="M613" s="37" t="n"/>
      <c r="N613" s="10">
        <f>G613*2400+K613+L613+M613</f>
        <v/>
      </c>
      <c r="O613" s="10">
        <f>(K613+M613)/G613</f>
        <v/>
      </c>
      <c r="P613" s="10">
        <f>L613/G613</f>
        <v/>
      </c>
      <c r="Q613" s="10">
        <f>N613*D613/1000</f>
        <v/>
      </c>
      <c r="R613" s="11">
        <f>K613*D613/1000</f>
        <v/>
      </c>
      <c r="S613" s="11">
        <f>L613*D613/1000</f>
        <v/>
      </c>
    </row>
    <row r="614" ht="46.5" customHeight="1">
      <c r="A614" s="25" t="n"/>
      <c r="B614" s="25" t="n"/>
      <c r="C614" s="25" t="n"/>
      <c r="D614" s="25" t="n"/>
      <c r="E614" s="25" t="n"/>
      <c r="F614" s="25" t="n"/>
      <c r="G614" s="25" t="n"/>
      <c r="H614" s="25" t="n"/>
      <c r="I614" s="25" t="n"/>
      <c r="J614" s="25" t="n"/>
      <c r="K614" s="37" t="n"/>
      <c r="L614" s="37" t="n"/>
      <c r="M614" s="37" t="n"/>
      <c r="N614" s="10">
        <f>G614*2400+K614+L614+M614</f>
        <v/>
      </c>
      <c r="O614" s="10">
        <f>(K614+M614)/G614</f>
        <v/>
      </c>
      <c r="P614" s="10">
        <f>L614/G614</f>
        <v/>
      </c>
      <c r="Q614" s="10">
        <f>N614*D614/1000</f>
        <v/>
      </c>
      <c r="R614" s="11">
        <f>K614*D614/1000</f>
        <v/>
      </c>
      <c r="S614" s="11">
        <f>L614*D614/1000</f>
        <v/>
      </c>
    </row>
    <row r="615" ht="46.5" customHeight="1">
      <c r="A615" s="25" t="n"/>
      <c r="B615" s="25" t="n"/>
      <c r="C615" s="25" t="n"/>
      <c r="D615" s="25" t="n"/>
      <c r="E615" s="25" t="n"/>
      <c r="F615" s="25" t="n"/>
      <c r="G615" s="25" t="n"/>
      <c r="H615" s="25" t="n"/>
      <c r="I615" s="25" t="n"/>
      <c r="J615" s="25" t="n"/>
      <c r="K615" s="37" t="n"/>
      <c r="L615" s="37" t="n"/>
      <c r="M615" s="37" t="n"/>
      <c r="N615" s="10">
        <f>G615*2400+K615+L615+M615</f>
        <v/>
      </c>
      <c r="O615" s="10">
        <f>(K615+M615)/G615</f>
        <v/>
      </c>
      <c r="P615" s="10">
        <f>L615/G615</f>
        <v/>
      </c>
      <c r="Q615" s="10">
        <f>N615*D615/1000</f>
        <v/>
      </c>
      <c r="R615" s="11">
        <f>K615*D615/1000</f>
        <v/>
      </c>
      <c r="S615" s="11">
        <f>L615*D615/1000</f>
        <v/>
      </c>
    </row>
    <row r="616" ht="46.5" customHeight="1">
      <c r="A616" s="25" t="n"/>
      <c r="B616" s="25" t="n"/>
      <c r="C616" s="25" t="n"/>
      <c r="D616" s="25" t="n"/>
      <c r="E616" s="25" t="n"/>
      <c r="F616" s="25" t="n"/>
      <c r="G616" s="25" t="n"/>
      <c r="H616" s="25" t="n"/>
      <c r="I616" s="25" t="n"/>
      <c r="J616" s="25" t="n"/>
      <c r="K616" s="37" t="n"/>
      <c r="L616" s="37" t="n"/>
      <c r="M616" s="37" t="n"/>
      <c r="N616" s="10">
        <f>G616*2400+K616+L616+M616</f>
        <v/>
      </c>
      <c r="O616" s="10">
        <f>(K616+M616)/G616</f>
        <v/>
      </c>
      <c r="P616" s="10">
        <f>L616/G616</f>
        <v/>
      </c>
      <c r="Q616" s="10">
        <f>N616*D616/1000</f>
        <v/>
      </c>
      <c r="R616" s="11">
        <f>K616*D616/1000</f>
        <v/>
      </c>
      <c r="S616" s="11">
        <f>L616*D616/1000</f>
        <v/>
      </c>
    </row>
    <row r="617" ht="46.5" customHeight="1">
      <c r="A617" s="25" t="n"/>
      <c r="B617" s="25" t="n"/>
      <c r="C617" s="25" t="n"/>
      <c r="D617" s="25" t="n"/>
      <c r="E617" s="25" t="n"/>
      <c r="F617" s="25" t="n"/>
      <c r="G617" s="25" t="n"/>
      <c r="H617" s="25" t="n"/>
      <c r="I617" s="25" t="n"/>
      <c r="J617" s="25" t="n"/>
      <c r="K617" s="37" t="n"/>
      <c r="L617" s="37" t="n"/>
      <c r="M617" s="37" t="n"/>
      <c r="N617" s="10">
        <f>G617*2400+K617+L617+M617</f>
        <v/>
      </c>
      <c r="O617" s="10">
        <f>(K617+M617)/G617</f>
        <v/>
      </c>
      <c r="P617" s="10">
        <f>L617/G617</f>
        <v/>
      </c>
      <c r="Q617" s="10">
        <f>N617*D617/1000</f>
        <v/>
      </c>
      <c r="R617" s="11">
        <f>K617*D617/1000</f>
        <v/>
      </c>
      <c r="S617" s="11">
        <f>L617*D617/1000</f>
        <v/>
      </c>
    </row>
    <row r="618" ht="46.5" customHeight="1">
      <c r="A618" s="25" t="n"/>
      <c r="B618" s="25" t="n"/>
      <c r="C618" s="25" t="n"/>
      <c r="D618" s="25" t="n"/>
      <c r="E618" s="25" t="n"/>
      <c r="F618" s="25" t="n"/>
      <c r="G618" s="25" t="n"/>
      <c r="H618" s="25" t="n"/>
      <c r="I618" s="25" t="n"/>
      <c r="J618" s="25" t="n"/>
      <c r="K618" s="37" t="n"/>
      <c r="L618" s="37" t="n"/>
      <c r="M618" s="37" t="n"/>
      <c r="N618" s="10">
        <f>G618*2400+K618+L618+M618</f>
        <v/>
      </c>
      <c r="O618" s="10">
        <f>(K618+M618)/G618</f>
        <v/>
      </c>
      <c r="P618" s="10">
        <f>L618/G618</f>
        <v/>
      </c>
      <c r="Q618" s="10">
        <f>N618*D618/1000</f>
        <v/>
      </c>
      <c r="R618" s="11">
        <f>K618*D618/1000</f>
        <v/>
      </c>
      <c r="S618" s="11">
        <f>L618*D618/1000</f>
        <v/>
      </c>
    </row>
    <row r="619" ht="46.5" customHeight="1">
      <c r="A619" s="25" t="n"/>
      <c r="B619" s="25" t="n"/>
      <c r="C619" s="25" t="n"/>
      <c r="D619" s="25" t="n"/>
      <c r="E619" s="25" t="n"/>
      <c r="F619" s="25" t="n"/>
      <c r="G619" s="25" t="n"/>
      <c r="H619" s="25" t="n"/>
      <c r="I619" s="25" t="n"/>
      <c r="J619" s="25" t="n"/>
      <c r="K619" s="37" t="n"/>
      <c r="L619" s="37" t="n"/>
      <c r="M619" s="37" t="n"/>
      <c r="N619" s="10">
        <f>G619*2400+K619+L619+M619</f>
        <v/>
      </c>
      <c r="O619" s="10">
        <f>(K619+M619)/G619</f>
        <v/>
      </c>
      <c r="P619" s="10">
        <f>L619/G619</f>
        <v/>
      </c>
      <c r="Q619" s="10">
        <f>N619*D619/1000</f>
        <v/>
      </c>
      <c r="R619" s="11">
        <f>K619*D619/1000</f>
        <v/>
      </c>
      <c r="S619" s="11">
        <f>L619*D619/1000</f>
        <v/>
      </c>
    </row>
    <row r="620" ht="46.5" customHeight="1">
      <c r="A620" s="25" t="n"/>
      <c r="B620" s="25" t="n"/>
      <c r="C620" s="25" t="n"/>
      <c r="D620" s="25" t="n"/>
      <c r="E620" s="25" t="n"/>
      <c r="F620" s="25" t="n"/>
      <c r="G620" s="25" t="n"/>
      <c r="H620" s="25" t="n"/>
      <c r="I620" s="25" t="n"/>
      <c r="J620" s="25" t="n"/>
      <c r="K620" s="37" t="n"/>
      <c r="L620" s="37" t="n"/>
      <c r="M620" s="37" t="n"/>
      <c r="N620" s="10">
        <f>G620*2400+K620+L620+M620</f>
        <v/>
      </c>
      <c r="O620" s="10">
        <f>(K620+M620)/G620</f>
        <v/>
      </c>
      <c r="P620" s="10">
        <f>L620/G620</f>
        <v/>
      </c>
      <c r="Q620" s="10">
        <f>N620*D620/1000</f>
        <v/>
      </c>
      <c r="R620" s="11">
        <f>K620*D620/1000</f>
        <v/>
      </c>
      <c r="S620" s="11">
        <f>L620*D620/1000</f>
        <v/>
      </c>
    </row>
    <row r="621" ht="46.5" customHeight="1">
      <c r="A621" s="25" t="n"/>
      <c r="B621" s="25" t="n"/>
      <c r="C621" s="25" t="n"/>
      <c r="D621" s="25" t="n"/>
      <c r="E621" s="25" t="n"/>
      <c r="F621" s="25" t="n"/>
      <c r="G621" s="25" t="n"/>
      <c r="H621" s="25" t="n"/>
      <c r="I621" s="25" t="n"/>
      <c r="J621" s="25" t="n"/>
      <c r="K621" s="37" t="n"/>
      <c r="L621" s="37" t="n"/>
      <c r="M621" s="37" t="n"/>
      <c r="N621" s="10">
        <f>G621*2400+K621+L621+M621</f>
        <v/>
      </c>
      <c r="O621" s="10">
        <f>(K621+M621)/G621</f>
        <v/>
      </c>
      <c r="P621" s="10">
        <f>L621/G621</f>
        <v/>
      </c>
      <c r="Q621" s="10">
        <f>N621*D621/1000</f>
        <v/>
      </c>
      <c r="R621" s="11">
        <f>K621*D621/1000</f>
        <v/>
      </c>
      <c r="S621" s="11">
        <f>L621*D621/1000</f>
        <v/>
      </c>
    </row>
    <row r="622" ht="46.5" customHeight="1">
      <c r="A622" s="25" t="n"/>
      <c r="B622" s="25" t="n"/>
      <c r="C622" s="25" t="n"/>
      <c r="D622" s="25" t="n"/>
      <c r="E622" s="25" t="n"/>
      <c r="F622" s="25" t="n"/>
      <c r="G622" s="25" t="n"/>
      <c r="H622" s="25" t="n"/>
      <c r="I622" s="25" t="n"/>
      <c r="J622" s="25" t="n"/>
      <c r="K622" s="37" t="n"/>
      <c r="L622" s="37" t="n"/>
      <c r="M622" s="37" t="n"/>
      <c r="N622" s="10">
        <f>G622*2400+K622+L622+M622</f>
        <v/>
      </c>
      <c r="O622" s="10">
        <f>(K622+M622)/G622</f>
        <v/>
      </c>
      <c r="P622" s="10">
        <f>L622/G622</f>
        <v/>
      </c>
      <c r="Q622" s="10">
        <f>N622*D622/1000</f>
        <v/>
      </c>
      <c r="R622" s="11">
        <f>K622*D622/1000</f>
        <v/>
      </c>
      <c r="S622" s="11">
        <f>L622*D622/1000</f>
        <v/>
      </c>
    </row>
    <row r="623" ht="46.5" customHeight="1">
      <c r="A623" s="25" t="n"/>
      <c r="B623" s="25" t="n"/>
      <c r="C623" s="25" t="n"/>
      <c r="D623" s="25" t="n"/>
      <c r="E623" s="25" t="n"/>
      <c r="F623" s="25" t="n"/>
      <c r="G623" s="25" t="n"/>
      <c r="H623" s="25" t="n"/>
      <c r="I623" s="25" t="n"/>
      <c r="J623" s="25" t="n"/>
      <c r="K623" s="37" t="n"/>
      <c r="L623" s="37" t="n"/>
      <c r="M623" s="37" t="n"/>
      <c r="N623" s="10">
        <f>G623*2400+K623+L623+M623</f>
        <v/>
      </c>
      <c r="O623" s="10">
        <f>(K623+M623)/G623</f>
        <v/>
      </c>
      <c r="P623" s="10">
        <f>L623/G623</f>
        <v/>
      </c>
      <c r="Q623" s="10">
        <f>N623*D623/1000</f>
        <v/>
      </c>
      <c r="R623" s="11">
        <f>K623*D623/1000</f>
        <v/>
      </c>
      <c r="S623" s="11">
        <f>L623*D623/1000</f>
        <v/>
      </c>
    </row>
    <row r="624" ht="46.5" customHeight="1">
      <c r="A624" s="25" t="n"/>
      <c r="B624" s="25" t="n"/>
      <c r="C624" s="25" t="n"/>
      <c r="D624" s="25" t="n"/>
      <c r="E624" s="25" t="n"/>
      <c r="F624" s="25" t="n"/>
      <c r="G624" s="25" t="n"/>
      <c r="H624" s="25" t="n"/>
      <c r="I624" s="25" t="n"/>
      <c r="J624" s="25" t="n"/>
      <c r="K624" s="37" t="n"/>
      <c r="L624" s="37" t="n"/>
      <c r="M624" s="37" t="n"/>
      <c r="N624" s="10">
        <f>G624*2400+K624+L624+M624</f>
        <v/>
      </c>
      <c r="O624" s="10">
        <f>(K624+M624)/G624</f>
        <v/>
      </c>
      <c r="P624" s="10">
        <f>L624/G624</f>
        <v/>
      </c>
      <c r="Q624" s="10">
        <f>N624*D624/1000</f>
        <v/>
      </c>
      <c r="R624" s="11">
        <f>K624*D624/1000</f>
        <v/>
      </c>
      <c r="S624" s="11">
        <f>L624*D624/1000</f>
        <v/>
      </c>
    </row>
    <row r="625" ht="46.5" customHeight="1">
      <c r="A625" s="25" t="n"/>
      <c r="B625" s="25" t="n"/>
      <c r="C625" s="25" t="n"/>
      <c r="D625" s="25" t="n"/>
      <c r="E625" s="25" t="n"/>
      <c r="F625" s="25" t="n"/>
      <c r="G625" s="25" t="n"/>
      <c r="H625" s="25" t="n"/>
      <c r="I625" s="25" t="n"/>
      <c r="J625" s="25" t="n"/>
      <c r="K625" s="37" t="n"/>
      <c r="L625" s="37" t="n"/>
      <c r="M625" s="37" t="n"/>
      <c r="N625" s="10">
        <f>G625*2400+K625+L625+M625</f>
        <v/>
      </c>
      <c r="O625" s="10">
        <f>(K625+M625)/G625</f>
        <v/>
      </c>
      <c r="P625" s="10">
        <f>L625/G625</f>
        <v/>
      </c>
      <c r="Q625" s="10">
        <f>N625*D625/1000</f>
        <v/>
      </c>
      <c r="R625" s="11">
        <f>K625*D625/1000</f>
        <v/>
      </c>
      <c r="S625" s="11">
        <f>L625*D625/1000</f>
        <v/>
      </c>
    </row>
    <row r="626" ht="46.5" customHeight="1">
      <c r="A626" s="25" t="n"/>
      <c r="B626" s="25" t="n"/>
      <c r="C626" s="25" t="n"/>
      <c r="D626" s="25" t="n"/>
      <c r="E626" s="25" t="n"/>
      <c r="F626" s="25" t="n"/>
      <c r="G626" s="25" t="n"/>
      <c r="H626" s="25" t="n"/>
      <c r="I626" s="25" t="n"/>
      <c r="J626" s="25" t="n"/>
      <c r="K626" s="37" t="n"/>
      <c r="L626" s="37" t="n"/>
      <c r="M626" s="37" t="n"/>
      <c r="N626" s="10">
        <f>G626*2400+K626+L626+M626</f>
        <v/>
      </c>
      <c r="O626" s="10">
        <f>(K626+M626)/G626</f>
        <v/>
      </c>
      <c r="P626" s="10">
        <f>L626/G626</f>
        <v/>
      </c>
      <c r="Q626" s="10">
        <f>N626*D626/1000</f>
        <v/>
      </c>
      <c r="R626" s="11">
        <f>K626*D626/1000</f>
        <v/>
      </c>
      <c r="S626" s="11">
        <f>L626*D626/1000</f>
        <v/>
      </c>
    </row>
    <row r="627" ht="46.5" customHeight="1">
      <c r="A627" s="25" t="n"/>
      <c r="B627" s="25" t="n"/>
      <c r="C627" s="25" t="n"/>
      <c r="D627" s="25" t="n"/>
      <c r="E627" s="25" t="n"/>
      <c r="F627" s="25" t="n"/>
      <c r="G627" s="25" t="n"/>
      <c r="H627" s="25" t="n"/>
      <c r="I627" s="25" t="n"/>
      <c r="J627" s="25" t="n"/>
      <c r="K627" s="37" t="n"/>
      <c r="L627" s="37" t="n"/>
      <c r="M627" s="37" t="n"/>
      <c r="N627" s="10">
        <f>G627*2400+K627+L627+M627</f>
        <v/>
      </c>
      <c r="O627" s="10">
        <f>(K627+M627)/G627</f>
        <v/>
      </c>
      <c r="P627" s="10">
        <f>L627/G627</f>
        <v/>
      </c>
      <c r="Q627" s="10">
        <f>N627*D627/1000</f>
        <v/>
      </c>
      <c r="R627" s="11">
        <f>K627*D627/1000</f>
        <v/>
      </c>
      <c r="S627" s="11">
        <f>L627*D627/1000</f>
        <v/>
      </c>
    </row>
    <row r="628" ht="46.5" customHeight="1">
      <c r="A628" s="25" t="n"/>
      <c r="B628" s="25" t="n"/>
      <c r="C628" s="25" t="n"/>
      <c r="D628" s="25" t="n"/>
      <c r="E628" s="25" t="n"/>
      <c r="F628" s="25" t="n"/>
      <c r="G628" s="25" t="n"/>
      <c r="H628" s="25" t="n"/>
      <c r="I628" s="25" t="n"/>
      <c r="J628" s="25" t="n"/>
      <c r="K628" s="37" t="n"/>
      <c r="L628" s="37" t="n"/>
      <c r="M628" s="37" t="n"/>
      <c r="N628" s="10">
        <f>G628*2400+K628+L628+M628</f>
        <v/>
      </c>
      <c r="O628" s="10">
        <f>(K628+M628)/G628</f>
        <v/>
      </c>
      <c r="P628" s="10">
        <f>L628/G628</f>
        <v/>
      </c>
      <c r="Q628" s="10">
        <f>N628*D628/1000</f>
        <v/>
      </c>
      <c r="R628" s="11">
        <f>K628*D628/1000</f>
        <v/>
      </c>
      <c r="S628" s="11">
        <f>L628*D628/1000</f>
        <v/>
      </c>
    </row>
    <row r="629" ht="46.5" customHeight="1">
      <c r="A629" s="25" t="n"/>
      <c r="B629" s="25" t="n"/>
      <c r="C629" s="25" t="n"/>
      <c r="D629" s="25" t="n"/>
      <c r="E629" s="25" t="n"/>
      <c r="F629" s="25" t="n"/>
      <c r="G629" s="25" t="n"/>
      <c r="H629" s="25" t="n"/>
      <c r="I629" s="25" t="n"/>
      <c r="J629" s="25" t="n"/>
      <c r="K629" s="37" t="n"/>
      <c r="L629" s="37" t="n"/>
      <c r="M629" s="37" t="n"/>
      <c r="N629" s="10">
        <f>G629*2400+K629+L629+M629</f>
        <v/>
      </c>
      <c r="O629" s="10">
        <f>(K629+M629)/G629</f>
        <v/>
      </c>
      <c r="P629" s="10">
        <f>L629/G629</f>
        <v/>
      </c>
      <c r="Q629" s="10">
        <f>N629*D629/1000</f>
        <v/>
      </c>
      <c r="R629" s="11">
        <f>K629*D629/1000</f>
        <v/>
      </c>
      <c r="S629" s="11">
        <f>L629*D629/1000</f>
        <v/>
      </c>
    </row>
    <row r="630" ht="46.5" customHeight="1">
      <c r="A630" s="25" t="n"/>
      <c r="B630" s="25" t="n"/>
      <c r="C630" s="25" t="n"/>
      <c r="D630" s="25" t="n"/>
      <c r="E630" s="25" t="n"/>
      <c r="F630" s="25" t="n"/>
      <c r="G630" s="25" t="n"/>
      <c r="H630" s="25" t="n"/>
      <c r="I630" s="25" t="n"/>
      <c r="J630" s="25" t="n"/>
      <c r="K630" s="37" t="n"/>
      <c r="L630" s="37" t="n"/>
      <c r="M630" s="37" t="n"/>
      <c r="N630" s="10">
        <f>G630*2400+K630+L630+M630</f>
        <v/>
      </c>
      <c r="O630" s="10">
        <f>(K630+M630)/G630</f>
        <v/>
      </c>
      <c r="P630" s="10">
        <f>L630/G630</f>
        <v/>
      </c>
      <c r="Q630" s="10">
        <f>N630*D630/1000</f>
        <v/>
      </c>
      <c r="R630" s="11">
        <f>K630*D630/1000</f>
        <v/>
      </c>
      <c r="S630" s="11">
        <f>L630*D630/1000</f>
        <v/>
      </c>
    </row>
    <row r="631" ht="46.5" customHeight="1">
      <c r="A631" s="25" t="n"/>
      <c r="B631" s="25" t="n"/>
      <c r="C631" s="25" t="n"/>
      <c r="D631" s="25" t="n"/>
      <c r="E631" s="25" t="n"/>
      <c r="F631" s="25" t="n"/>
      <c r="G631" s="25" t="n"/>
      <c r="H631" s="25" t="n"/>
      <c r="I631" s="25" t="n"/>
      <c r="J631" s="25" t="n"/>
      <c r="K631" s="37" t="n"/>
      <c r="L631" s="37" t="n"/>
      <c r="M631" s="37" t="n"/>
      <c r="N631" s="10">
        <f>G631*2400+K631+L631+M631</f>
        <v/>
      </c>
      <c r="O631" s="10">
        <f>(K631+M631)/G631</f>
        <v/>
      </c>
      <c r="P631" s="10">
        <f>L631/G631</f>
        <v/>
      </c>
      <c r="Q631" s="10">
        <f>N631*D631/1000</f>
        <v/>
      </c>
      <c r="R631" s="11">
        <f>K631*D631/1000</f>
        <v/>
      </c>
      <c r="S631" s="11">
        <f>L631*D631/1000</f>
        <v/>
      </c>
    </row>
    <row r="632" ht="46.5" customHeight="1">
      <c r="A632" s="25" t="n"/>
      <c r="B632" s="25" t="n"/>
      <c r="C632" s="25" t="n"/>
      <c r="D632" s="25" t="n"/>
      <c r="E632" s="25" t="n"/>
      <c r="F632" s="25" t="n"/>
      <c r="G632" s="25" t="n"/>
      <c r="H632" s="25" t="n"/>
      <c r="I632" s="25" t="n"/>
      <c r="J632" s="25" t="n"/>
      <c r="K632" s="37" t="n"/>
      <c r="L632" s="37" t="n"/>
      <c r="M632" s="37" t="n"/>
      <c r="N632" s="10">
        <f>G632*2400+K632+L632+M632</f>
        <v/>
      </c>
      <c r="O632" s="10">
        <f>(K632+M632)/G632</f>
        <v/>
      </c>
      <c r="P632" s="10">
        <f>L632/G632</f>
        <v/>
      </c>
      <c r="Q632" s="10">
        <f>N632*D632/1000</f>
        <v/>
      </c>
      <c r="R632" s="11">
        <f>K632*D632/1000</f>
        <v/>
      </c>
      <c r="S632" s="11">
        <f>L632*D632/1000</f>
        <v/>
      </c>
    </row>
    <row r="633" ht="46.5" customHeight="1">
      <c r="A633" s="25" t="n"/>
      <c r="B633" s="25" t="n"/>
      <c r="C633" s="25" t="n"/>
      <c r="D633" s="25" t="n"/>
      <c r="E633" s="25" t="n"/>
      <c r="F633" s="25" t="n"/>
      <c r="G633" s="25" t="n"/>
      <c r="H633" s="25" t="n"/>
      <c r="I633" s="25" t="n"/>
      <c r="J633" s="25" t="n"/>
      <c r="K633" s="37" t="n"/>
      <c r="L633" s="37" t="n"/>
      <c r="M633" s="37" t="n"/>
      <c r="N633" s="10">
        <f>G633*2400+K633+L633+M633</f>
        <v/>
      </c>
      <c r="O633" s="10">
        <f>(K633+M633)/G633</f>
        <v/>
      </c>
      <c r="P633" s="10">
        <f>L633/G633</f>
        <v/>
      </c>
      <c r="Q633" s="10">
        <f>N633*D633/1000</f>
        <v/>
      </c>
      <c r="R633" s="11">
        <f>K633*D633/1000</f>
        <v/>
      </c>
      <c r="S633" s="11">
        <f>L633*D633/1000</f>
        <v/>
      </c>
    </row>
    <row r="634" ht="46.5" customHeight="1">
      <c r="A634" s="25" t="n"/>
      <c r="B634" s="25" t="n"/>
      <c r="C634" s="25" t="n"/>
      <c r="D634" s="25" t="n"/>
      <c r="E634" s="25" t="n"/>
      <c r="F634" s="25" t="n"/>
      <c r="G634" s="25" t="n"/>
      <c r="H634" s="25" t="n"/>
      <c r="I634" s="25" t="n"/>
      <c r="J634" s="25" t="n"/>
      <c r="K634" s="37" t="n"/>
      <c r="L634" s="37" t="n"/>
      <c r="M634" s="37" t="n"/>
      <c r="N634" s="10">
        <f>G634*2400+K634+L634+M634</f>
        <v/>
      </c>
      <c r="O634" s="10">
        <f>(K634+M634)/G634</f>
        <v/>
      </c>
      <c r="P634" s="10">
        <f>L634/G634</f>
        <v/>
      </c>
      <c r="Q634" s="10">
        <f>N634*D634/1000</f>
        <v/>
      </c>
      <c r="R634" s="11">
        <f>K634*D634/1000</f>
        <v/>
      </c>
      <c r="S634" s="11">
        <f>L634*D634/1000</f>
        <v/>
      </c>
    </row>
    <row r="635" ht="46.5" customHeight="1">
      <c r="A635" s="25" t="n"/>
      <c r="B635" s="25" t="n"/>
      <c r="C635" s="25" t="n"/>
      <c r="D635" s="25" t="n"/>
      <c r="E635" s="25" t="n"/>
      <c r="F635" s="25" t="n"/>
      <c r="G635" s="25" t="n"/>
      <c r="H635" s="25" t="n"/>
      <c r="I635" s="25" t="n"/>
      <c r="J635" s="25" t="n"/>
      <c r="K635" s="37" t="n"/>
      <c r="L635" s="37" t="n"/>
      <c r="M635" s="37" t="n"/>
      <c r="N635" s="10">
        <f>G635*2400+K635+L635+M635</f>
        <v/>
      </c>
      <c r="O635" s="10">
        <f>(K635+M635)/G635</f>
        <v/>
      </c>
      <c r="P635" s="10">
        <f>L635/G635</f>
        <v/>
      </c>
      <c r="Q635" s="10">
        <f>N635*D635/1000</f>
        <v/>
      </c>
      <c r="R635" s="11">
        <f>K635*D635/1000</f>
        <v/>
      </c>
      <c r="S635" s="11">
        <f>L635*D635/1000</f>
        <v/>
      </c>
    </row>
    <row r="636" ht="46.5" customHeight="1">
      <c r="A636" s="25" t="n"/>
      <c r="B636" s="25" t="n"/>
      <c r="C636" s="25" t="n"/>
      <c r="D636" s="25" t="n"/>
      <c r="E636" s="25" t="n"/>
      <c r="F636" s="25" t="n"/>
      <c r="G636" s="25" t="n"/>
      <c r="H636" s="25" t="n"/>
      <c r="I636" s="25" t="n"/>
      <c r="J636" s="25" t="n"/>
      <c r="K636" s="37" t="n"/>
      <c r="L636" s="37" t="n"/>
      <c r="M636" s="37" t="n"/>
      <c r="N636" s="10">
        <f>G636*2400+K636+L636+M636</f>
        <v/>
      </c>
      <c r="O636" s="10">
        <f>(K636+M636)/G636</f>
        <v/>
      </c>
      <c r="P636" s="10">
        <f>L636/G636</f>
        <v/>
      </c>
      <c r="Q636" s="10">
        <f>N636*D636/1000</f>
        <v/>
      </c>
      <c r="R636" s="11">
        <f>K636*D636/1000</f>
        <v/>
      </c>
      <c r="S636" s="11">
        <f>L636*D636/1000</f>
        <v/>
      </c>
    </row>
    <row r="637" ht="46.5" customHeight="1">
      <c r="A637" s="25" t="n"/>
      <c r="B637" s="25" t="n"/>
      <c r="C637" s="25" t="n"/>
      <c r="D637" s="25" t="n"/>
      <c r="E637" s="25" t="n"/>
      <c r="F637" s="25" t="n"/>
      <c r="G637" s="25" t="n"/>
      <c r="H637" s="25" t="n"/>
      <c r="I637" s="25" t="n"/>
      <c r="J637" s="25" t="n"/>
      <c r="K637" s="37" t="n"/>
      <c r="L637" s="37" t="n"/>
      <c r="M637" s="37" t="n"/>
      <c r="N637" s="10">
        <f>G637*2400+K637+L637+M637</f>
        <v/>
      </c>
      <c r="O637" s="10">
        <f>(K637+M637)/G637</f>
        <v/>
      </c>
      <c r="P637" s="10">
        <f>L637/G637</f>
        <v/>
      </c>
      <c r="Q637" s="10">
        <f>N637*D637/1000</f>
        <v/>
      </c>
      <c r="R637" s="11">
        <f>K637*D637/1000</f>
        <v/>
      </c>
      <c r="S637" s="11">
        <f>L637*D637/1000</f>
        <v/>
      </c>
    </row>
    <row r="638" ht="46.5" customHeight="1">
      <c r="A638" s="25" t="n"/>
      <c r="B638" s="25" t="n"/>
      <c r="C638" s="25" t="n"/>
      <c r="D638" s="25" t="n"/>
      <c r="E638" s="25" t="n"/>
      <c r="F638" s="25" t="n"/>
      <c r="G638" s="25" t="n"/>
      <c r="H638" s="25" t="n"/>
      <c r="I638" s="25" t="n"/>
      <c r="J638" s="25" t="n"/>
      <c r="K638" s="37" t="n"/>
      <c r="L638" s="37" t="n"/>
      <c r="M638" s="37" t="n"/>
      <c r="N638" s="10">
        <f>G638*2400+K638+L638+M638</f>
        <v/>
      </c>
      <c r="O638" s="10">
        <f>(K638+M638)/G638</f>
        <v/>
      </c>
      <c r="P638" s="10">
        <f>L638/G638</f>
        <v/>
      </c>
      <c r="Q638" s="10">
        <f>N638*D638/1000</f>
        <v/>
      </c>
      <c r="R638" s="11">
        <f>K638*D638/1000</f>
        <v/>
      </c>
      <c r="S638" s="11">
        <f>L638*D638/1000</f>
        <v/>
      </c>
    </row>
    <row r="639" ht="46.5" customHeight="1">
      <c r="A639" s="25" t="n"/>
      <c r="B639" s="25" t="n"/>
      <c r="C639" s="25" t="n"/>
      <c r="D639" s="25" t="n"/>
      <c r="E639" s="25" t="n"/>
      <c r="F639" s="25" t="n"/>
      <c r="G639" s="25" t="n"/>
      <c r="H639" s="25" t="n"/>
      <c r="I639" s="25" t="n"/>
      <c r="J639" s="25" t="n"/>
      <c r="K639" s="37" t="n"/>
      <c r="L639" s="37" t="n"/>
      <c r="M639" s="37" t="n"/>
      <c r="N639" s="10">
        <f>G639*2400+K639+L639+M639</f>
        <v/>
      </c>
      <c r="O639" s="10">
        <f>(K639+M639)/G639</f>
        <v/>
      </c>
      <c r="P639" s="10">
        <f>L639/G639</f>
        <v/>
      </c>
      <c r="Q639" s="10">
        <f>N639*D639/1000</f>
        <v/>
      </c>
      <c r="R639" s="11">
        <f>K639*D639/1000</f>
        <v/>
      </c>
      <c r="S639" s="11">
        <f>L639*D639/1000</f>
        <v/>
      </c>
    </row>
    <row r="640" ht="46.5" customHeight="1">
      <c r="A640" s="25" t="n"/>
      <c r="B640" s="25" t="n"/>
      <c r="C640" s="25" t="n"/>
      <c r="D640" s="25" t="n"/>
      <c r="E640" s="25" t="n"/>
      <c r="F640" s="25" t="n"/>
      <c r="G640" s="25" t="n"/>
      <c r="H640" s="25" t="n"/>
      <c r="I640" s="25" t="n"/>
      <c r="J640" s="25" t="n"/>
      <c r="K640" s="37" t="n"/>
      <c r="L640" s="37" t="n"/>
      <c r="M640" s="37" t="n"/>
      <c r="N640" s="10">
        <f>G640*2400+K640+L640+M640</f>
        <v/>
      </c>
      <c r="O640" s="10">
        <f>(K640+M640)/G640</f>
        <v/>
      </c>
      <c r="P640" s="10">
        <f>L640/G640</f>
        <v/>
      </c>
      <c r="Q640" s="10">
        <f>N640*D640/1000</f>
        <v/>
      </c>
      <c r="R640" s="11">
        <f>K640*D640/1000</f>
        <v/>
      </c>
      <c r="S640" s="11">
        <f>L640*D640/1000</f>
        <v/>
      </c>
    </row>
    <row r="641" ht="46.5" customHeight="1">
      <c r="A641" s="25" t="n"/>
      <c r="B641" s="25" t="n"/>
      <c r="C641" s="25" t="n"/>
      <c r="D641" s="25" t="n"/>
      <c r="E641" s="25" t="n"/>
      <c r="F641" s="25" t="n"/>
      <c r="G641" s="25" t="n"/>
      <c r="H641" s="25" t="n"/>
      <c r="I641" s="25" t="n"/>
      <c r="J641" s="25" t="n"/>
      <c r="K641" s="37" t="n"/>
      <c r="L641" s="37" t="n"/>
      <c r="M641" s="37" t="n"/>
      <c r="N641" s="10">
        <f>G641*2400+K641+L641+M641</f>
        <v/>
      </c>
      <c r="O641" s="10">
        <f>(K641+M641)/G641</f>
        <v/>
      </c>
      <c r="P641" s="10">
        <f>L641/G641</f>
        <v/>
      </c>
      <c r="Q641" s="10">
        <f>N641*D641/1000</f>
        <v/>
      </c>
      <c r="R641" s="11">
        <f>K641*D641/1000</f>
        <v/>
      </c>
      <c r="S641" s="11">
        <f>L641*D641/1000</f>
        <v/>
      </c>
    </row>
    <row r="642" ht="46.5" customHeight="1">
      <c r="A642" s="25" t="n"/>
      <c r="B642" s="25" t="n"/>
      <c r="C642" s="25" t="n"/>
      <c r="D642" s="25" t="n"/>
      <c r="E642" s="25" t="n"/>
      <c r="F642" s="25" t="n"/>
      <c r="G642" s="25" t="n"/>
      <c r="H642" s="25" t="n"/>
      <c r="I642" s="25" t="n"/>
      <c r="J642" s="25" t="n"/>
      <c r="K642" s="37" t="n"/>
      <c r="L642" s="37" t="n"/>
      <c r="M642" s="37" t="n"/>
      <c r="N642" s="10">
        <f>G642*2400+K642+L642+M642</f>
        <v/>
      </c>
      <c r="O642" s="10">
        <f>(K642+M642)/G642</f>
        <v/>
      </c>
      <c r="P642" s="10">
        <f>L642/G642</f>
        <v/>
      </c>
      <c r="Q642" s="10">
        <f>N642*D642/1000</f>
        <v/>
      </c>
      <c r="R642" s="11">
        <f>K642*D642/1000</f>
        <v/>
      </c>
      <c r="S642" s="11">
        <f>L642*D642/1000</f>
        <v/>
      </c>
    </row>
    <row r="643" ht="46.5" customHeight="1">
      <c r="A643" s="25" t="n"/>
      <c r="B643" s="25" t="n"/>
      <c r="C643" s="25" t="n"/>
      <c r="D643" s="25" t="n"/>
      <c r="E643" s="25" t="n"/>
      <c r="F643" s="25" t="n"/>
      <c r="G643" s="25" t="n"/>
      <c r="H643" s="25" t="n"/>
      <c r="I643" s="25" t="n"/>
      <c r="J643" s="25" t="n"/>
      <c r="K643" s="37" t="n"/>
      <c r="L643" s="37" t="n"/>
      <c r="M643" s="37" t="n"/>
      <c r="N643" s="10">
        <f>G643*2400+K643+L643+M643</f>
        <v/>
      </c>
      <c r="O643" s="10">
        <f>(K643+M643)/G643</f>
        <v/>
      </c>
      <c r="P643" s="10">
        <f>L643/G643</f>
        <v/>
      </c>
      <c r="Q643" s="10">
        <f>N643*D643/1000</f>
        <v/>
      </c>
      <c r="R643" s="11">
        <f>K643*D643/1000</f>
        <v/>
      </c>
      <c r="S643" s="11">
        <f>L643*D643/1000</f>
        <v/>
      </c>
    </row>
    <row r="644" ht="46.5" customHeight="1">
      <c r="A644" s="25" t="n"/>
      <c r="B644" s="25" t="n"/>
      <c r="C644" s="25" t="n"/>
      <c r="D644" s="25" t="n"/>
      <c r="E644" s="25" t="n"/>
      <c r="F644" s="25" t="n"/>
      <c r="G644" s="25" t="n"/>
      <c r="H644" s="25" t="n"/>
      <c r="I644" s="25" t="n"/>
      <c r="J644" s="25" t="n"/>
      <c r="K644" s="37" t="n"/>
      <c r="L644" s="37" t="n"/>
      <c r="M644" s="37" t="n"/>
      <c r="N644" s="10">
        <f>G644*2400+K644+L644+M644</f>
        <v/>
      </c>
      <c r="O644" s="10">
        <f>(K644+M644)/G644</f>
        <v/>
      </c>
      <c r="P644" s="10">
        <f>L644/G644</f>
        <v/>
      </c>
      <c r="Q644" s="10">
        <f>N644*D644/1000</f>
        <v/>
      </c>
      <c r="R644" s="11">
        <f>K644*D644/1000</f>
        <v/>
      </c>
      <c r="S644" s="11">
        <f>L644*D644/1000</f>
        <v/>
      </c>
    </row>
    <row r="645" ht="46.5" customHeight="1">
      <c r="A645" s="25" t="n"/>
      <c r="B645" s="25" t="n"/>
      <c r="C645" s="25" t="n"/>
      <c r="D645" s="25" t="n"/>
      <c r="E645" s="25" t="n"/>
      <c r="F645" s="25" t="n"/>
      <c r="G645" s="25" t="n"/>
      <c r="H645" s="25" t="n"/>
      <c r="I645" s="25" t="n"/>
      <c r="J645" s="25" t="n"/>
      <c r="K645" s="37" t="n"/>
      <c r="L645" s="37" t="n"/>
      <c r="M645" s="37" t="n"/>
      <c r="N645" s="10">
        <f>G645*2400+K645+L645+M645</f>
        <v/>
      </c>
      <c r="O645" s="10">
        <f>(K645+M645)/G645</f>
        <v/>
      </c>
      <c r="P645" s="10">
        <f>L645/G645</f>
        <v/>
      </c>
      <c r="Q645" s="10">
        <f>N645*D645/1000</f>
        <v/>
      </c>
      <c r="R645" s="11">
        <f>K645*D645/1000</f>
        <v/>
      </c>
      <c r="S645" s="11">
        <f>L645*D645/1000</f>
        <v/>
      </c>
    </row>
    <row r="646" ht="46.5" customHeight="1">
      <c r="A646" s="25" t="n"/>
      <c r="B646" s="25" t="n"/>
      <c r="C646" s="25" t="n"/>
      <c r="D646" s="25" t="n"/>
      <c r="E646" s="25" t="n"/>
      <c r="F646" s="25" t="n"/>
      <c r="G646" s="25" t="n"/>
      <c r="H646" s="25" t="n"/>
      <c r="I646" s="25" t="n"/>
      <c r="J646" s="25" t="n"/>
      <c r="K646" s="37" t="n"/>
      <c r="L646" s="37" t="n"/>
      <c r="M646" s="37" t="n"/>
      <c r="N646" s="10">
        <f>G646*2400+K646+L646+M646</f>
        <v/>
      </c>
      <c r="O646" s="10">
        <f>(K646+M646)/G646</f>
        <v/>
      </c>
      <c r="P646" s="10">
        <f>L646/G646</f>
        <v/>
      </c>
      <c r="Q646" s="10">
        <f>N646*D646/1000</f>
        <v/>
      </c>
      <c r="R646" s="11">
        <f>K646*D646/1000</f>
        <v/>
      </c>
      <c r="S646" s="11">
        <f>L646*D646/1000</f>
        <v/>
      </c>
    </row>
    <row r="647" ht="46.5" customHeight="1">
      <c r="A647" s="25" t="n"/>
      <c r="B647" s="25" t="n"/>
      <c r="C647" s="25" t="n"/>
      <c r="D647" s="25" t="n"/>
      <c r="E647" s="25" t="n"/>
      <c r="F647" s="25" t="n"/>
      <c r="G647" s="25" t="n"/>
      <c r="H647" s="25" t="n"/>
      <c r="I647" s="25" t="n"/>
      <c r="J647" s="25" t="n"/>
      <c r="K647" s="37" t="n"/>
      <c r="L647" s="37" t="n"/>
      <c r="M647" s="37" t="n"/>
      <c r="N647" s="10">
        <f>G647*2400+K647+L647+M647</f>
        <v/>
      </c>
      <c r="O647" s="10">
        <f>(K647+M647)/G647</f>
        <v/>
      </c>
      <c r="P647" s="10">
        <f>L647/G647</f>
        <v/>
      </c>
      <c r="Q647" s="10">
        <f>N647*D647/1000</f>
        <v/>
      </c>
      <c r="R647" s="11">
        <f>K647*D647/1000</f>
        <v/>
      </c>
      <c r="S647" s="11">
        <f>L647*D647/1000</f>
        <v/>
      </c>
    </row>
    <row r="648" ht="46.5" customHeight="1">
      <c r="A648" s="25" t="n"/>
      <c r="B648" s="25" t="n"/>
      <c r="C648" s="25" t="n"/>
      <c r="D648" s="25" t="n"/>
      <c r="E648" s="25" t="n"/>
      <c r="F648" s="25" t="n"/>
      <c r="G648" s="25" t="n"/>
      <c r="H648" s="25" t="n"/>
      <c r="I648" s="25" t="n"/>
      <c r="J648" s="25" t="n"/>
      <c r="K648" s="37" t="n"/>
      <c r="L648" s="37" t="n"/>
      <c r="M648" s="37" t="n"/>
      <c r="N648" s="10">
        <f>G648*2400+K648+L648+M648</f>
        <v/>
      </c>
      <c r="O648" s="10">
        <f>(K648+M648)/G648</f>
        <v/>
      </c>
      <c r="P648" s="10">
        <f>L648/G648</f>
        <v/>
      </c>
      <c r="Q648" s="10">
        <f>N648*D648/1000</f>
        <v/>
      </c>
      <c r="R648" s="11">
        <f>K648*D648/1000</f>
        <v/>
      </c>
      <c r="S648" s="11">
        <f>L648*D648/1000</f>
        <v/>
      </c>
    </row>
    <row r="649" ht="46.5" customHeight="1">
      <c r="A649" s="25" t="n"/>
      <c r="B649" s="25" t="n"/>
      <c r="C649" s="25" t="n"/>
      <c r="D649" s="25" t="n"/>
      <c r="E649" s="25" t="n"/>
      <c r="F649" s="25" t="n"/>
      <c r="G649" s="25" t="n"/>
      <c r="H649" s="25" t="n"/>
      <c r="I649" s="25" t="n"/>
      <c r="J649" s="25" t="n"/>
      <c r="K649" s="37" t="n"/>
      <c r="L649" s="37" t="n"/>
      <c r="M649" s="37" t="n"/>
      <c r="N649" s="10">
        <f>G649*2400+K649+L649+M649</f>
        <v/>
      </c>
      <c r="O649" s="10">
        <f>(K649+M649)/G649</f>
        <v/>
      </c>
      <c r="P649" s="10">
        <f>L649/G649</f>
        <v/>
      </c>
      <c r="Q649" s="10">
        <f>N649*D649/1000</f>
        <v/>
      </c>
      <c r="R649" s="11">
        <f>K649*D649/1000</f>
        <v/>
      </c>
      <c r="S649" s="11">
        <f>L649*D649/1000</f>
        <v/>
      </c>
    </row>
    <row r="650" ht="46.5" customHeight="1">
      <c r="A650" s="25" t="n"/>
      <c r="B650" s="25" t="n"/>
      <c r="C650" s="25" t="n"/>
      <c r="D650" s="25" t="n"/>
      <c r="E650" s="25" t="n"/>
      <c r="F650" s="25" t="n"/>
      <c r="G650" s="25" t="n"/>
      <c r="H650" s="25" t="n"/>
      <c r="I650" s="25" t="n"/>
      <c r="J650" s="25" t="n"/>
      <c r="K650" s="37" t="n"/>
      <c r="L650" s="37" t="n"/>
      <c r="M650" s="37" t="n"/>
      <c r="N650" s="10">
        <f>G650*2400+K650+L650+M650</f>
        <v/>
      </c>
      <c r="O650" s="10">
        <f>(K650+M650)/G650</f>
        <v/>
      </c>
      <c r="P650" s="10">
        <f>L650/G650</f>
        <v/>
      </c>
      <c r="Q650" s="10">
        <f>N650*D650/1000</f>
        <v/>
      </c>
      <c r="R650" s="11">
        <f>K650*D650/1000</f>
        <v/>
      </c>
      <c r="S650" s="11">
        <f>L650*D650/1000</f>
        <v/>
      </c>
    </row>
    <row r="651" ht="46.5" customHeight="1">
      <c r="A651" s="25" t="n"/>
      <c r="B651" s="25" t="n"/>
      <c r="C651" s="25" t="n"/>
      <c r="D651" s="25" t="n"/>
      <c r="E651" s="25" t="n"/>
      <c r="F651" s="25" t="n"/>
      <c r="G651" s="25" t="n"/>
      <c r="H651" s="25" t="n"/>
      <c r="I651" s="25" t="n"/>
      <c r="J651" s="25" t="n"/>
      <c r="K651" s="37" t="n"/>
      <c r="L651" s="37" t="n"/>
      <c r="M651" s="37" t="n"/>
      <c r="N651" s="10">
        <f>G651*2400+K651+L651+M651</f>
        <v/>
      </c>
      <c r="O651" s="10">
        <f>(K651+M651)/G651</f>
        <v/>
      </c>
      <c r="P651" s="10">
        <f>L651/G651</f>
        <v/>
      </c>
      <c r="Q651" s="10">
        <f>N651*D651/1000</f>
        <v/>
      </c>
      <c r="R651" s="11">
        <f>K651*D651/1000</f>
        <v/>
      </c>
      <c r="S651" s="11">
        <f>L651*D651/1000</f>
        <v/>
      </c>
    </row>
    <row r="652" ht="46.5" customHeight="1">
      <c r="A652" s="25" t="n"/>
      <c r="B652" s="25" t="n"/>
      <c r="C652" s="25" t="n"/>
      <c r="D652" s="25" t="n"/>
      <c r="E652" s="25" t="n"/>
      <c r="F652" s="25" t="n"/>
      <c r="G652" s="25" t="n"/>
      <c r="H652" s="25" t="n"/>
      <c r="I652" s="25" t="n"/>
      <c r="J652" s="25" t="n"/>
      <c r="K652" s="37" t="n"/>
      <c r="L652" s="37" t="n"/>
      <c r="M652" s="37" t="n"/>
      <c r="N652" s="10">
        <f>G652*2400+K652+L652+M652</f>
        <v/>
      </c>
      <c r="O652" s="10">
        <f>(K652+M652)/G652</f>
        <v/>
      </c>
      <c r="P652" s="10">
        <f>L652/G652</f>
        <v/>
      </c>
      <c r="Q652" s="10">
        <f>N652*D652/1000</f>
        <v/>
      </c>
      <c r="R652" s="11">
        <f>K652*D652/1000</f>
        <v/>
      </c>
      <c r="S652" s="11">
        <f>L652*D652/1000</f>
        <v/>
      </c>
    </row>
    <row r="653" ht="46.5" customHeight="1">
      <c r="A653" s="25" t="n"/>
      <c r="B653" s="25" t="n"/>
      <c r="C653" s="25" t="n"/>
      <c r="D653" s="25" t="n"/>
      <c r="E653" s="25" t="n"/>
      <c r="F653" s="25" t="n"/>
      <c r="G653" s="25" t="n"/>
      <c r="H653" s="25" t="n"/>
      <c r="I653" s="25" t="n"/>
      <c r="J653" s="25" t="n"/>
      <c r="K653" s="37" t="n"/>
      <c r="L653" s="37" t="n"/>
      <c r="M653" s="37" t="n"/>
      <c r="N653" s="10">
        <f>G653*2400+K653+L653+M653</f>
        <v/>
      </c>
      <c r="O653" s="10">
        <f>(K653+M653)/G653</f>
        <v/>
      </c>
      <c r="P653" s="10">
        <f>L653/G653</f>
        <v/>
      </c>
      <c r="Q653" s="10">
        <f>N653*D653/1000</f>
        <v/>
      </c>
      <c r="R653" s="11">
        <f>K653*D653/1000</f>
        <v/>
      </c>
      <c r="S653" s="11">
        <f>L653*D653/1000</f>
        <v/>
      </c>
    </row>
    <row r="654" ht="46.5" customHeight="1">
      <c r="A654" s="25" t="n"/>
      <c r="B654" s="25" t="n"/>
      <c r="C654" s="25" t="n"/>
      <c r="D654" s="25" t="n"/>
      <c r="E654" s="25" t="n"/>
      <c r="F654" s="25" t="n"/>
      <c r="G654" s="25" t="n"/>
      <c r="H654" s="25" t="n"/>
      <c r="I654" s="25" t="n"/>
      <c r="J654" s="25" t="n"/>
      <c r="K654" s="37" t="n"/>
      <c r="L654" s="37" t="n"/>
      <c r="M654" s="37" t="n"/>
      <c r="N654" s="10">
        <f>G654*2400+K654+L654+M654</f>
        <v/>
      </c>
      <c r="O654" s="10">
        <f>(K654+M654)/G654</f>
        <v/>
      </c>
      <c r="P654" s="10">
        <f>L654/G654</f>
        <v/>
      </c>
      <c r="Q654" s="10">
        <f>N654*D654/1000</f>
        <v/>
      </c>
      <c r="R654" s="11">
        <f>K654*D654/1000</f>
        <v/>
      </c>
      <c r="S654" s="11">
        <f>L654*D654/1000</f>
        <v/>
      </c>
    </row>
    <row r="655" ht="46.5" customHeight="1">
      <c r="A655" s="25" t="n"/>
      <c r="B655" s="25" t="n"/>
      <c r="C655" s="25" t="n"/>
      <c r="D655" s="25" t="n"/>
      <c r="E655" s="25" t="n"/>
      <c r="F655" s="25" t="n"/>
      <c r="G655" s="25" t="n"/>
      <c r="H655" s="25" t="n"/>
      <c r="I655" s="25" t="n"/>
      <c r="J655" s="25" t="n"/>
      <c r="K655" s="37" t="n"/>
      <c r="L655" s="37" t="n"/>
      <c r="M655" s="37" t="n"/>
      <c r="N655" s="10">
        <f>G655*2400+K655+L655+M655</f>
        <v/>
      </c>
      <c r="O655" s="10">
        <f>(K655+M655)/G655</f>
        <v/>
      </c>
      <c r="P655" s="10">
        <f>L655/G655</f>
        <v/>
      </c>
      <c r="Q655" s="10">
        <f>N655*D655/1000</f>
        <v/>
      </c>
      <c r="R655" s="11">
        <f>K655*D655/1000</f>
        <v/>
      </c>
      <c r="S655" s="11">
        <f>L655*D655/1000</f>
        <v/>
      </c>
    </row>
    <row r="656" ht="46.5" customHeight="1">
      <c r="A656" s="25" t="n"/>
      <c r="B656" s="25" t="n"/>
      <c r="C656" s="25" t="n"/>
      <c r="D656" s="25" t="n"/>
      <c r="E656" s="25" t="n"/>
      <c r="F656" s="25" t="n"/>
      <c r="G656" s="25" t="n"/>
      <c r="H656" s="25" t="n"/>
      <c r="I656" s="25" t="n"/>
      <c r="J656" s="25" t="n"/>
      <c r="K656" s="37" t="n"/>
      <c r="L656" s="37" t="n"/>
      <c r="M656" s="37" t="n"/>
      <c r="N656" s="10">
        <f>G656*2400+K656+L656+M656</f>
        <v/>
      </c>
      <c r="O656" s="10">
        <f>(K656+M656)/G656</f>
        <v/>
      </c>
      <c r="P656" s="10">
        <f>L656/G656</f>
        <v/>
      </c>
      <c r="Q656" s="10">
        <f>N656*D656/1000</f>
        <v/>
      </c>
      <c r="R656" s="11">
        <f>K656*D656/1000</f>
        <v/>
      </c>
      <c r="S656" s="11">
        <f>L656*D656/1000</f>
        <v/>
      </c>
    </row>
    <row r="657" ht="46.5" customHeight="1">
      <c r="A657" s="25" t="n"/>
      <c r="B657" s="25" t="n"/>
      <c r="C657" s="25" t="n"/>
      <c r="D657" s="25" t="n"/>
      <c r="E657" s="25" t="n"/>
      <c r="F657" s="25" t="n"/>
      <c r="G657" s="25" t="n"/>
      <c r="H657" s="25" t="n"/>
      <c r="I657" s="25" t="n"/>
      <c r="J657" s="25" t="n"/>
      <c r="K657" s="37" t="n"/>
      <c r="L657" s="37" t="n"/>
      <c r="M657" s="37" t="n"/>
      <c r="N657" s="10">
        <f>G657*2400+K657+L657+M657</f>
        <v/>
      </c>
      <c r="O657" s="10">
        <f>(K657+M657)/G657</f>
        <v/>
      </c>
      <c r="P657" s="10">
        <f>L657/G657</f>
        <v/>
      </c>
      <c r="Q657" s="10">
        <f>N657*D657/1000</f>
        <v/>
      </c>
      <c r="R657" s="11">
        <f>K657*D657/1000</f>
        <v/>
      </c>
      <c r="S657" s="11">
        <f>L657*D657/1000</f>
        <v/>
      </c>
    </row>
    <row r="658" ht="46.5" customHeight="1">
      <c r="A658" s="25" t="n"/>
      <c r="B658" s="25" t="n"/>
      <c r="C658" s="25" t="n"/>
      <c r="D658" s="25" t="n"/>
      <c r="E658" s="25" t="n"/>
      <c r="F658" s="25" t="n"/>
      <c r="G658" s="25" t="n"/>
      <c r="H658" s="25" t="n"/>
      <c r="I658" s="25" t="n"/>
      <c r="J658" s="25" t="n"/>
      <c r="K658" s="37" t="n"/>
      <c r="L658" s="37" t="n"/>
      <c r="M658" s="37" t="n"/>
      <c r="N658" s="10">
        <f>G658*2400+K658+L658+M658</f>
        <v/>
      </c>
      <c r="O658" s="10">
        <f>(K658+M658)/G658</f>
        <v/>
      </c>
      <c r="P658" s="10">
        <f>L658/G658</f>
        <v/>
      </c>
      <c r="Q658" s="10">
        <f>N658*D658/1000</f>
        <v/>
      </c>
      <c r="R658" s="11">
        <f>K658*D658/1000</f>
        <v/>
      </c>
      <c r="S658" s="11">
        <f>L658*D658/1000</f>
        <v/>
      </c>
    </row>
    <row r="659" ht="46.5" customHeight="1">
      <c r="A659" s="25" t="n"/>
      <c r="B659" s="25" t="n"/>
      <c r="C659" s="25" t="n"/>
      <c r="D659" s="25" t="n"/>
      <c r="E659" s="25" t="n"/>
      <c r="F659" s="25" t="n"/>
      <c r="G659" s="25" t="n"/>
      <c r="H659" s="25" t="n"/>
      <c r="I659" s="25" t="n"/>
      <c r="J659" s="25" t="n"/>
      <c r="K659" s="37" t="n"/>
      <c r="L659" s="37" t="n"/>
      <c r="M659" s="37" t="n"/>
      <c r="N659" s="10">
        <f>G659*2400+K659+L659+M659</f>
        <v/>
      </c>
      <c r="O659" s="10">
        <f>(K659+M659)/G659</f>
        <v/>
      </c>
      <c r="P659" s="10">
        <f>L659/G659</f>
        <v/>
      </c>
      <c r="Q659" s="10">
        <f>N659*D659/1000</f>
        <v/>
      </c>
      <c r="R659" s="11">
        <f>K659*D659/1000</f>
        <v/>
      </c>
      <c r="S659" s="11">
        <f>L659*D659/1000</f>
        <v/>
      </c>
    </row>
    <row r="660" ht="46.5" customHeight="1">
      <c r="A660" s="25" t="n"/>
      <c r="B660" s="25" t="n"/>
      <c r="C660" s="25" t="n"/>
      <c r="D660" s="25" t="n"/>
      <c r="E660" s="25" t="n"/>
      <c r="F660" s="25" t="n"/>
      <c r="G660" s="25" t="n"/>
      <c r="H660" s="25" t="n"/>
      <c r="I660" s="25" t="n"/>
      <c r="J660" s="25" t="n"/>
      <c r="K660" s="37" t="n"/>
      <c r="L660" s="37" t="n"/>
      <c r="M660" s="37" t="n"/>
      <c r="N660" s="10">
        <f>G660*2400+K660+L660+M660</f>
        <v/>
      </c>
      <c r="O660" s="10">
        <f>(K660+M660)/G660</f>
        <v/>
      </c>
      <c r="P660" s="10">
        <f>L660/G660</f>
        <v/>
      </c>
      <c r="Q660" s="10">
        <f>N660*D660/1000</f>
        <v/>
      </c>
      <c r="R660" s="11">
        <f>K660*D660/1000</f>
        <v/>
      </c>
      <c r="S660" s="11">
        <f>L660*D660/1000</f>
        <v/>
      </c>
    </row>
    <row r="661" ht="46.5" customHeight="1">
      <c r="A661" s="25" t="n"/>
      <c r="B661" s="25" t="n"/>
      <c r="C661" s="25" t="n"/>
      <c r="D661" s="25" t="n"/>
      <c r="E661" s="25" t="n"/>
      <c r="F661" s="25" t="n"/>
      <c r="G661" s="25" t="n"/>
      <c r="H661" s="25" t="n"/>
      <c r="I661" s="25" t="n"/>
      <c r="J661" s="25" t="n"/>
      <c r="K661" s="37" t="n"/>
      <c r="L661" s="37" t="n"/>
      <c r="M661" s="37" t="n"/>
      <c r="N661" s="10">
        <f>G661*2400+K661+L661+M661</f>
        <v/>
      </c>
      <c r="O661" s="10">
        <f>(K661+M661)/G661</f>
        <v/>
      </c>
      <c r="P661" s="10">
        <f>L661/G661</f>
        <v/>
      </c>
      <c r="Q661" s="10">
        <f>N661*D661/1000</f>
        <v/>
      </c>
      <c r="R661" s="11">
        <f>K661*D661/1000</f>
        <v/>
      </c>
      <c r="S661" s="11">
        <f>L661*D661/1000</f>
        <v/>
      </c>
    </row>
    <row r="662" ht="46.5" customHeight="1">
      <c r="A662" s="25" t="n"/>
      <c r="B662" s="25" t="n"/>
      <c r="C662" s="25" t="n"/>
      <c r="D662" s="25" t="n"/>
      <c r="E662" s="25" t="n"/>
      <c r="F662" s="25" t="n"/>
      <c r="G662" s="25" t="n"/>
      <c r="H662" s="25" t="n"/>
      <c r="I662" s="25" t="n"/>
      <c r="J662" s="25" t="n"/>
      <c r="K662" s="37" t="n"/>
      <c r="L662" s="37" t="n"/>
      <c r="M662" s="37" t="n"/>
      <c r="N662" s="10">
        <f>G662*2400+K662+L662+M662</f>
        <v/>
      </c>
      <c r="O662" s="10">
        <f>(K662+M662)/G662</f>
        <v/>
      </c>
      <c r="P662" s="10">
        <f>L662/G662</f>
        <v/>
      </c>
      <c r="Q662" s="10">
        <f>N662*D662/1000</f>
        <v/>
      </c>
      <c r="R662" s="11">
        <f>K662*D662/1000</f>
        <v/>
      </c>
      <c r="S662" s="11">
        <f>L662*D662/1000</f>
        <v/>
      </c>
    </row>
    <row r="663" ht="46.5" customHeight="1">
      <c r="A663" s="25" t="n"/>
      <c r="B663" s="25" t="n"/>
      <c r="C663" s="25" t="n"/>
      <c r="D663" s="25" t="n"/>
      <c r="E663" s="25" t="n"/>
      <c r="F663" s="25" t="n"/>
      <c r="G663" s="25" t="n"/>
      <c r="H663" s="25" t="n"/>
      <c r="I663" s="25" t="n"/>
      <c r="J663" s="25" t="n"/>
      <c r="K663" s="37" t="n"/>
      <c r="L663" s="37" t="n"/>
      <c r="M663" s="37" t="n"/>
      <c r="N663" s="10">
        <f>G663*2400+K663+L663+M663</f>
        <v/>
      </c>
      <c r="O663" s="10">
        <f>(K663+M663)/G663</f>
        <v/>
      </c>
      <c r="P663" s="10">
        <f>L663/G663</f>
        <v/>
      </c>
      <c r="Q663" s="10">
        <f>N663*D663/1000</f>
        <v/>
      </c>
      <c r="R663" s="11">
        <f>K663*D663/1000</f>
        <v/>
      </c>
      <c r="S663" s="11">
        <f>L663*D663/1000</f>
        <v/>
      </c>
    </row>
    <row r="664" ht="46.5" customHeight="1">
      <c r="A664" s="25" t="n"/>
      <c r="B664" s="25" t="n"/>
      <c r="C664" s="25" t="n"/>
      <c r="D664" s="25" t="n"/>
      <c r="E664" s="25" t="n"/>
      <c r="F664" s="25" t="n"/>
      <c r="G664" s="25" t="n"/>
      <c r="H664" s="25" t="n"/>
      <c r="I664" s="25" t="n"/>
      <c r="J664" s="25" t="n"/>
      <c r="K664" s="37" t="n"/>
      <c r="L664" s="37" t="n"/>
      <c r="M664" s="37" t="n"/>
      <c r="N664" s="10">
        <f>G664*2400+K664+L664+M664</f>
        <v/>
      </c>
      <c r="O664" s="10">
        <f>(K664+M664)/G664</f>
        <v/>
      </c>
      <c r="P664" s="10">
        <f>L664/G664</f>
        <v/>
      </c>
      <c r="Q664" s="10">
        <f>N664*D664/1000</f>
        <v/>
      </c>
      <c r="R664" s="11">
        <f>K664*D664/1000</f>
        <v/>
      </c>
      <c r="S664" s="11">
        <f>L664*D664/1000</f>
        <v/>
      </c>
    </row>
    <row r="665" ht="46.5" customHeight="1">
      <c r="A665" s="25" t="n"/>
      <c r="B665" s="25" t="n"/>
      <c r="C665" s="25" t="n"/>
      <c r="D665" s="25" t="n"/>
      <c r="E665" s="25" t="n"/>
      <c r="F665" s="25" t="n"/>
      <c r="G665" s="25" t="n"/>
      <c r="H665" s="25" t="n"/>
      <c r="I665" s="25" t="n"/>
      <c r="J665" s="25" t="n"/>
      <c r="K665" s="37" t="n"/>
      <c r="L665" s="37" t="n"/>
      <c r="M665" s="37" t="n"/>
      <c r="N665" s="10">
        <f>G665*2400+K665+L665+M665</f>
        <v/>
      </c>
      <c r="O665" s="10">
        <f>(K665+M665)/G665</f>
        <v/>
      </c>
      <c r="P665" s="10">
        <f>L665/G665</f>
        <v/>
      </c>
      <c r="Q665" s="10">
        <f>N665*D665/1000</f>
        <v/>
      </c>
      <c r="R665" s="11">
        <f>K665*D665/1000</f>
        <v/>
      </c>
      <c r="S665" s="11">
        <f>L665*D665/1000</f>
        <v/>
      </c>
    </row>
    <row r="666" ht="46.5" customHeight="1">
      <c r="A666" s="25" t="n"/>
      <c r="B666" s="25" t="n"/>
      <c r="C666" s="25" t="n"/>
      <c r="D666" s="25" t="n"/>
      <c r="E666" s="25" t="n"/>
      <c r="F666" s="25" t="n"/>
      <c r="G666" s="25" t="n"/>
      <c r="H666" s="25" t="n"/>
      <c r="I666" s="25" t="n"/>
      <c r="J666" s="25" t="n"/>
      <c r="K666" s="37" t="n"/>
      <c r="L666" s="37" t="n"/>
      <c r="M666" s="37" t="n"/>
      <c r="N666" s="10">
        <f>G666*2400+K666+L666+M666</f>
        <v/>
      </c>
      <c r="O666" s="10">
        <f>(K666+M666)/G666</f>
        <v/>
      </c>
      <c r="P666" s="10">
        <f>L666/G666</f>
        <v/>
      </c>
      <c r="Q666" s="10">
        <f>N666*D666/1000</f>
        <v/>
      </c>
      <c r="R666" s="11">
        <f>K666*D666/1000</f>
        <v/>
      </c>
      <c r="S666" s="11">
        <f>L666*D666/1000</f>
        <v/>
      </c>
    </row>
    <row r="667" ht="46.5" customHeight="1">
      <c r="A667" s="25" t="n"/>
      <c r="B667" s="25" t="n"/>
      <c r="C667" s="25" t="n"/>
      <c r="D667" s="25" t="n"/>
      <c r="E667" s="25" t="n"/>
      <c r="F667" s="25" t="n"/>
      <c r="G667" s="25" t="n"/>
      <c r="H667" s="25" t="n"/>
      <c r="I667" s="25" t="n"/>
      <c r="J667" s="25" t="n"/>
      <c r="K667" s="37" t="n"/>
      <c r="L667" s="37" t="n"/>
      <c r="M667" s="37" t="n"/>
      <c r="N667" s="10">
        <f>G667*2400+K667+L667+M667</f>
        <v/>
      </c>
      <c r="O667" s="10">
        <f>(K667+M667)/G667</f>
        <v/>
      </c>
      <c r="P667" s="10">
        <f>L667/G667</f>
        <v/>
      </c>
      <c r="Q667" s="10">
        <f>N667*D667/1000</f>
        <v/>
      </c>
      <c r="R667" s="11">
        <f>K667*D667/1000</f>
        <v/>
      </c>
      <c r="S667" s="11">
        <f>L667*D667/1000</f>
        <v/>
      </c>
    </row>
    <row r="668" ht="46.5" customHeight="1">
      <c r="A668" s="25" t="n"/>
      <c r="B668" s="25" t="n"/>
      <c r="C668" s="25" t="n"/>
      <c r="D668" s="25" t="n"/>
      <c r="E668" s="25" t="n"/>
      <c r="F668" s="25" t="n"/>
      <c r="G668" s="25" t="n"/>
      <c r="H668" s="25" t="n"/>
      <c r="I668" s="25" t="n"/>
      <c r="J668" s="25" t="n"/>
      <c r="K668" s="37" t="n"/>
      <c r="L668" s="37" t="n"/>
      <c r="M668" s="37" t="n"/>
      <c r="N668" s="10">
        <f>G668*2400+K668+L668+M668</f>
        <v/>
      </c>
      <c r="O668" s="10">
        <f>(K668+M668)/G668</f>
        <v/>
      </c>
      <c r="P668" s="10">
        <f>L668/G668</f>
        <v/>
      </c>
      <c r="Q668" s="10">
        <f>N668*D668/1000</f>
        <v/>
      </c>
      <c r="R668" s="11">
        <f>K668*D668/1000</f>
        <v/>
      </c>
      <c r="S668" s="11">
        <f>L668*D668/1000</f>
        <v/>
      </c>
    </row>
    <row r="669" ht="46.5" customHeight="1">
      <c r="A669" s="25" t="n"/>
      <c r="B669" s="25" t="n"/>
      <c r="C669" s="25" t="n"/>
      <c r="D669" s="25" t="n"/>
      <c r="E669" s="25" t="n"/>
      <c r="F669" s="25" t="n"/>
      <c r="G669" s="25" t="n"/>
      <c r="H669" s="25" t="n"/>
      <c r="I669" s="25" t="n"/>
      <c r="J669" s="25" t="n"/>
      <c r="K669" s="37" t="n"/>
      <c r="L669" s="37" t="n"/>
      <c r="M669" s="37" t="n"/>
      <c r="N669" s="10">
        <f>G669*2400+K669+L669+M669</f>
        <v/>
      </c>
      <c r="O669" s="10">
        <f>(K669+M669)/G669</f>
        <v/>
      </c>
      <c r="P669" s="10">
        <f>L669/G669</f>
        <v/>
      </c>
      <c r="Q669" s="10">
        <f>N669*D669/1000</f>
        <v/>
      </c>
      <c r="R669" s="11">
        <f>K669*D669/1000</f>
        <v/>
      </c>
      <c r="S669" s="11">
        <f>L669*D669/1000</f>
        <v/>
      </c>
    </row>
    <row r="670" ht="46.5" customHeight="1">
      <c r="A670" s="25" t="n"/>
      <c r="B670" s="25" t="n"/>
      <c r="C670" s="25" t="n"/>
      <c r="D670" s="25" t="n"/>
      <c r="E670" s="25" t="n"/>
      <c r="F670" s="25" t="n"/>
      <c r="G670" s="25" t="n"/>
      <c r="H670" s="25" t="n"/>
      <c r="I670" s="25" t="n"/>
      <c r="J670" s="25" t="n"/>
      <c r="K670" s="37" t="n"/>
      <c r="L670" s="37" t="n"/>
      <c r="M670" s="37" t="n"/>
      <c r="N670" s="10">
        <f>G670*2400+K670+L670+M670</f>
        <v/>
      </c>
      <c r="O670" s="10">
        <f>(K670+M670)/G670</f>
        <v/>
      </c>
      <c r="P670" s="10">
        <f>L670/G670</f>
        <v/>
      </c>
      <c r="Q670" s="10">
        <f>N670*D670/1000</f>
        <v/>
      </c>
      <c r="R670" s="11">
        <f>K670*D670/1000</f>
        <v/>
      </c>
      <c r="S670" s="11">
        <f>L670*D670/1000</f>
        <v/>
      </c>
    </row>
    <row r="671" ht="46.5" customHeight="1">
      <c r="A671" s="25" t="n"/>
      <c r="B671" s="25" t="n"/>
      <c r="C671" s="25" t="n"/>
      <c r="D671" s="25" t="n"/>
      <c r="E671" s="25" t="n"/>
      <c r="F671" s="25" t="n"/>
      <c r="G671" s="25" t="n"/>
      <c r="H671" s="25" t="n"/>
      <c r="I671" s="25" t="n"/>
      <c r="J671" s="25" t="n"/>
      <c r="K671" s="37" t="n"/>
      <c r="L671" s="37" t="n"/>
      <c r="M671" s="37" t="n"/>
      <c r="N671" s="10">
        <f>G671*2400+K671+L671+M671</f>
        <v/>
      </c>
      <c r="O671" s="10">
        <f>(K671+M671)/G671</f>
        <v/>
      </c>
      <c r="P671" s="10">
        <f>L671/G671</f>
        <v/>
      </c>
      <c r="Q671" s="10">
        <f>N671*D671/1000</f>
        <v/>
      </c>
      <c r="R671" s="11">
        <f>K671*D671/1000</f>
        <v/>
      </c>
      <c r="S671" s="11">
        <f>L671*D671/1000</f>
        <v/>
      </c>
    </row>
    <row r="672" ht="46.5" customHeight="1">
      <c r="A672" s="25" t="n"/>
      <c r="B672" s="25" t="n"/>
      <c r="C672" s="25" t="n"/>
      <c r="D672" s="25" t="n"/>
      <c r="E672" s="25" t="n"/>
      <c r="F672" s="25" t="n"/>
      <c r="G672" s="25" t="n"/>
      <c r="H672" s="25" t="n"/>
      <c r="I672" s="25" t="n"/>
      <c r="J672" s="25" t="n"/>
      <c r="K672" s="37" t="n"/>
      <c r="L672" s="37" t="n"/>
      <c r="M672" s="37" t="n"/>
      <c r="N672" s="10">
        <f>G672*2400+K672+L672+M672</f>
        <v/>
      </c>
      <c r="O672" s="10">
        <f>(K672+M672)/G672</f>
        <v/>
      </c>
      <c r="P672" s="10">
        <f>L672/G672</f>
        <v/>
      </c>
      <c r="Q672" s="10">
        <f>N672*D672/1000</f>
        <v/>
      </c>
      <c r="R672" s="11">
        <f>K672*D672/1000</f>
        <v/>
      </c>
      <c r="S672" s="11">
        <f>L672*D672/1000</f>
        <v/>
      </c>
    </row>
    <row r="673" ht="46.5" customHeight="1">
      <c r="A673" s="25" t="n"/>
      <c r="B673" s="25" t="n"/>
      <c r="C673" s="25" t="n"/>
      <c r="D673" s="25" t="n"/>
      <c r="E673" s="25" t="n"/>
      <c r="F673" s="25" t="n"/>
      <c r="G673" s="25" t="n"/>
      <c r="H673" s="25" t="n"/>
      <c r="I673" s="25" t="n"/>
      <c r="J673" s="25" t="n"/>
      <c r="K673" s="37" t="n"/>
      <c r="L673" s="37" t="n"/>
      <c r="M673" s="37" t="n"/>
      <c r="N673" s="10">
        <f>G673*2400+K673+L673+M673</f>
        <v/>
      </c>
      <c r="O673" s="10">
        <f>(K673+M673)/G673</f>
        <v/>
      </c>
      <c r="P673" s="10">
        <f>L673/G673</f>
        <v/>
      </c>
      <c r="Q673" s="10">
        <f>N673*D673/1000</f>
        <v/>
      </c>
      <c r="R673" s="11">
        <f>K673*D673/1000</f>
        <v/>
      </c>
      <c r="S673" s="11">
        <f>L673*D673/1000</f>
        <v/>
      </c>
    </row>
    <row r="674" ht="46.5" customHeight="1">
      <c r="A674" s="25" t="n"/>
      <c r="B674" s="25" t="n"/>
      <c r="C674" s="25" t="n"/>
      <c r="D674" s="25" t="n"/>
      <c r="E674" s="25" t="n"/>
      <c r="F674" s="25" t="n"/>
      <c r="G674" s="25" t="n"/>
      <c r="H674" s="25" t="n"/>
      <c r="I674" s="25" t="n"/>
      <c r="J674" s="25" t="n"/>
      <c r="K674" s="37" t="n"/>
      <c r="L674" s="37" t="n"/>
      <c r="M674" s="37" t="n"/>
      <c r="N674" s="10" t="n"/>
      <c r="O674" s="10" t="n"/>
      <c r="P674" s="10" t="n"/>
      <c r="Q674" s="10" t="n"/>
      <c r="R674" s="11" t="n"/>
      <c r="S674" s="11" t="n"/>
    </row>
    <row r="675" ht="77.25" customHeight="1">
      <c r="A675" s="61" t="inlineStr">
        <is>
          <t>SOMA</t>
        </is>
      </c>
      <c r="B675" s="62" t="n"/>
      <c r="C675" s="63" t="n"/>
      <c r="D675" s="34">
        <f>SUM(D4:D673)</f>
        <v/>
      </c>
      <c r="E675" s="56" t="n"/>
      <c r="F675" s="34">
        <f>SUM(F4:F673)</f>
        <v/>
      </c>
      <c r="G675" s="34">
        <f>SUM(G4:G673)</f>
        <v/>
      </c>
      <c r="H675" s="34">
        <f>SUM(H4:H673)</f>
        <v/>
      </c>
      <c r="I675" s="56" t="n"/>
      <c r="J675" s="56" t="n"/>
      <c r="K675" s="34">
        <f>SUM(K4:K673)</f>
        <v/>
      </c>
      <c r="L675" s="34">
        <f>SUM(L4:L673)</f>
        <v/>
      </c>
      <c r="M675" s="34">
        <f>SUM(M4:M673)</f>
        <v/>
      </c>
      <c r="N675" s="34">
        <f>SUM(N4:N673)</f>
        <v/>
      </c>
      <c r="O675" s="10">
        <f>(K675+M675)/G675</f>
        <v/>
      </c>
      <c r="P675" s="10">
        <f>L675/G675</f>
        <v/>
      </c>
      <c r="Q675" s="34">
        <f>SUM(Q4:Q673)</f>
        <v/>
      </c>
      <c r="R675" s="34">
        <f>SUM(R4:R673)</f>
        <v/>
      </c>
      <c r="S675" s="34">
        <f>SUM(S4:S673)</f>
        <v/>
      </c>
    </row>
  </sheetData>
  <autoFilter ref="A3:S3">
    <sortState ref="A3:S4">
      <sortCondition ref="O3"/>
    </sortState>
  </autoFilter>
  <mergeCells count="1">
    <mergeCell ref="A675:C675"/>
  </mergeCells>
  <pageMargins left="0.511811024" right="0.511811024" top="0.787401575" bottom="0.787401575" header="0.31496062" footer="0.31496062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A206"/>
  <sheetViews>
    <sheetView topLeftCell="C1" zoomScale="70" zoomScaleNormal="70" workbookViewId="0">
      <pane ySplit="3" topLeftCell="A28" activePane="bottomLeft" state="frozen"/>
      <selection activeCell="H4" sqref="H4"/>
      <selection pane="bottomLeft" activeCell="C4" sqref="C4:M35"/>
    </sheetView>
  </sheetViews>
  <sheetFormatPr baseColWidth="8" defaultRowHeight="15" customHeight="1"/>
  <cols>
    <col width="13.6640625" customWidth="1" min="1" max="1"/>
    <col width="87.109375" customWidth="1" min="2" max="2"/>
    <col width="90.44140625" customWidth="1" min="3" max="3"/>
    <col width="13.6640625" customWidth="1" min="4" max="5"/>
    <col width="21.33203125" bestFit="1" customWidth="1" min="6" max="6"/>
    <col width="19.5546875" bestFit="1" customWidth="1" style="7" min="7" max="7"/>
    <col width="19.5546875" customWidth="1" style="7" min="8" max="8"/>
    <col width="17.33203125" customWidth="1" min="9" max="9"/>
    <col width="13.6640625" customWidth="1" min="10" max="10"/>
    <col width="13.6640625" customWidth="1" style="8" min="11" max="11"/>
    <col width="17.88671875" customWidth="1" style="8" min="12" max="13"/>
    <col width="13.6640625" customWidth="1" style="9" min="14" max="14"/>
    <col width="15.6640625" customWidth="1" style="9" min="15" max="15"/>
    <col width="19.88671875" customWidth="1" style="9" min="16" max="16"/>
    <col width="15.6640625" customWidth="1" style="9" min="17" max="17"/>
    <col width="16.5546875" customWidth="1" min="18" max="18"/>
    <col width="15" customWidth="1" min="19" max="19"/>
  </cols>
  <sheetData>
    <row r="1" ht="30" customHeight="1">
      <c r="A1" s="15" t="inlineStr">
        <is>
          <t>CONTROLE DE PEÇAS</t>
        </is>
      </c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6" t="n"/>
      <c r="L1" s="16" t="n"/>
      <c r="M1" s="16" t="n"/>
      <c r="N1" s="16" t="n"/>
      <c r="O1" s="16" t="n"/>
      <c r="P1" s="16" t="n"/>
      <c r="Q1" s="16" t="n"/>
      <c r="R1" s="16" t="n"/>
      <c r="S1" s="16" t="n"/>
    </row>
    <row r="2" ht="30" customHeight="1" thickBot="1">
      <c r="A2" s="13" t="inlineStr">
        <is>
          <t>OBRA:</t>
        </is>
      </c>
      <c r="B2" s="14" t="inlineStr">
        <is>
          <t>CROMA</t>
        </is>
      </c>
      <c r="C2" s="14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14" t="n"/>
      <c r="P2" s="14" t="n"/>
      <c r="Q2" s="14" t="n"/>
      <c r="R2" s="14" t="n"/>
      <c r="S2" s="14" t="n"/>
    </row>
    <row r="3" ht="60" customFormat="1" customHeight="1" s="5">
      <c r="A3" s="12" t="inlineStr">
        <is>
          <t>TIPO DE PEÇA</t>
        </is>
      </c>
      <c r="B3" s="1" t="inlineStr">
        <is>
          <t>TÍTULO DA PEÇA</t>
        </is>
      </c>
      <c r="C3" s="1" t="inlineStr">
        <is>
          <t>NOME DESENHO</t>
        </is>
      </c>
      <c r="D3" s="1" t="inlineStr">
        <is>
          <t>QUANTIDADE</t>
        </is>
      </c>
      <c r="E3" s="1" t="inlineStr">
        <is>
          <t>SEÇÃO</t>
        </is>
      </c>
      <c r="F3" s="1" t="inlineStr">
        <is>
          <t>COMPRIMENTO (cm)</t>
        </is>
      </c>
      <c r="G3" s="2" t="inlineStr">
        <is>
          <t>VOLUME DE CONCRETO (m³)</t>
        </is>
      </c>
      <c r="H3" s="2" t="inlineStr">
        <is>
          <t>VOLUME DE CONCRETO TOTAL(m³)</t>
        </is>
      </c>
      <c r="I3" s="1" t="inlineStr">
        <is>
          <t>fck (Mpa)</t>
        </is>
      </c>
      <c r="J3" s="1" t="inlineStr">
        <is>
          <t>fcj (Mpa)</t>
        </is>
      </c>
      <c r="K3" s="3" t="inlineStr">
        <is>
          <t>PESO AÇO FROUXO (kg)</t>
        </is>
      </c>
      <c r="L3" s="3" t="inlineStr">
        <is>
          <t>PESO AÇO PROTENDIDO (kg)</t>
        </is>
      </c>
      <c r="M3" s="3" t="inlineStr">
        <is>
          <t>PESO AÇO CONSOLO (kg)</t>
        </is>
      </c>
      <c r="N3" s="4" t="inlineStr">
        <is>
          <t>PESO TOTAL UNITÁRIO (kg)</t>
        </is>
      </c>
      <c r="O3" s="4" t="inlineStr">
        <is>
          <t>TAXA AÇO FROUXO (kg/m³)</t>
        </is>
      </c>
      <c r="P3" s="4" t="inlineStr">
        <is>
          <t>TAXA AÇO PROTENDIDO (kg/m³)</t>
        </is>
      </c>
      <c r="Q3" s="4" t="inlineStr">
        <is>
          <t>PESO TOTAL (t)</t>
        </is>
      </c>
      <c r="R3" s="3" t="inlineStr">
        <is>
          <t>PESO TOTAL AÇO FROUXO (t)</t>
        </is>
      </c>
      <c r="S3" s="3" t="inlineStr">
        <is>
          <t>PESO TOTAL AÇO PROTENDIDO (t)</t>
        </is>
      </c>
    </row>
    <row r="4" ht="46.5" customHeight="1">
      <c r="A4" s="26" t="inlineStr">
        <is>
          <t>PILAR</t>
        </is>
      </c>
      <c r="B4" s="26" t="inlineStr">
        <is>
          <t>P10</t>
        </is>
      </c>
      <c r="C4" s="26" t="inlineStr">
        <is>
          <t>P10 - 40x50x2097-FORMA E ARMAÇÃO-R00</t>
        </is>
      </c>
      <c r="D4" s="26" t="n">
        <v>1</v>
      </c>
      <c r="E4" s="26" t="inlineStr">
        <is>
          <t>40x50</t>
        </is>
      </c>
      <c r="F4" s="26" t="n">
        <v>2097</v>
      </c>
      <c r="G4" s="26" t="n">
        <v>4.16</v>
      </c>
      <c r="H4" s="26">
        <f>G4*D4</f>
        <v/>
      </c>
      <c r="I4" s="26" t="n">
        <v>50</v>
      </c>
      <c r="J4" s="26" t="n">
        <v>20</v>
      </c>
      <c r="K4" s="46" t="n">
        <v>397.02</v>
      </c>
      <c r="L4" s="46" t="n">
        <v>0</v>
      </c>
      <c r="M4" s="46" t="n">
        <v>144.04</v>
      </c>
      <c r="N4" s="10">
        <f>G4*2400+K4+L4+M4</f>
        <v/>
      </c>
      <c r="O4" s="10">
        <f>(K4+M4)/G4</f>
        <v/>
      </c>
      <c r="P4" s="10">
        <f>L4/G4</f>
        <v/>
      </c>
      <c r="Q4" s="10">
        <f>N4*D4/1000</f>
        <v/>
      </c>
      <c r="R4" s="11">
        <f>K4*D4/1000</f>
        <v/>
      </c>
      <c r="S4" s="11">
        <f>L4*D4/1000</f>
        <v/>
      </c>
    </row>
    <row r="5" ht="46.5" customHeight="1">
      <c r="A5" s="26" t="inlineStr">
        <is>
          <t>PILAR</t>
        </is>
      </c>
      <c r="B5" s="26" t="inlineStr">
        <is>
          <t>P11=P12=P13</t>
        </is>
      </c>
      <c r="C5" s="26" t="inlineStr">
        <is>
          <t>P11=P12=P13 - 40x50x2097-FORMA E ARMAÇÃO-R00</t>
        </is>
      </c>
      <c r="D5" s="26" t="n">
        <v>3</v>
      </c>
      <c r="E5" s="26" t="inlineStr">
        <is>
          <t>40x50</t>
        </is>
      </c>
      <c r="F5" s="26" t="n">
        <v>2097</v>
      </c>
      <c r="G5" s="26" t="n">
        <v>4.16</v>
      </c>
      <c r="H5" s="26">
        <f>G5*D5</f>
        <v/>
      </c>
      <c r="I5" s="26" t="n">
        <v>50</v>
      </c>
      <c r="J5" s="26" t="n">
        <v>20</v>
      </c>
      <c r="K5" s="46" t="n">
        <v>397.02</v>
      </c>
      <c r="L5" s="46" t="n">
        <v>0</v>
      </c>
      <c r="M5" s="46" t="n">
        <v>144.04</v>
      </c>
      <c r="N5" s="10">
        <f>G5*2400+K5+L5+M5</f>
        <v/>
      </c>
      <c r="O5" s="10">
        <f>(K5+M5)/G5</f>
        <v/>
      </c>
      <c r="P5" s="10">
        <f>L5/G5</f>
        <v/>
      </c>
      <c r="Q5" s="10">
        <f>N5*D5/1000</f>
        <v/>
      </c>
      <c r="R5" s="11">
        <f>K5*D5/1000</f>
        <v/>
      </c>
      <c r="S5" s="11">
        <f>L5*D5/1000</f>
        <v/>
      </c>
    </row>
    <row r="6" ht="46.5" customHeight="1">
      <c r="A6" s="26" t="inlineStr">
        <is>
          <t>PILAR</t>
        </is>
      </c>
      <c r="B6" s="26" t="inlineStr">
        <is>
          <t>P14</t>
        </is>
      </c>
      <c r="C6" s="26" t="inlineStr">
        <is>
          <t>P14 - 40x50x2097-FORMA E ARMAÇÃO-R00</t>
        </is>
      </c>
      <c r="D6" s="26" t="n">
        <v>1</v>
      </c>
      <c r="E6" s="26" t="inlineStr">
        <is>
          <t>40x50</t>
        </is>
      </c>
      <c r="F6" s="26" t="n">
        <v>2097</v>
      </c>
      <c r="G6" s="26" t="n">
        <v>4.193</v>
      </c>
      <c r="H6" s="26">
        <f>G6*D6</f>
        <v/>
      </c>
      <c r="I6" s="26" t="n">
        <v>50</v>
      </c>
      <c r="J6" s="26" t="n">
        <v>20</v>
      </c>
      <c r="K6" s="46" t="n">
        <v>397.36</v>
      </c>
      <c r="L6" s="46" t="n">
        <v>0</v>
      </c>
      <c r="M6" s="46" t="n">
        <v>129.58</v>
      </c>
      <c r="N6" s="10">
        <f>G6*2400+K6+L6+M6</f>
        <v/>
      </c>
      <c r="O6" s="10">
        <f>(K6+M6)/G6</f>
        <v/>
      </c>
      <c r="P6" s="10">
        <f>L6/G6</f>
        <v/>
      </c>
      <c r="Q6" s="10">
        <f>N6*D6/1000</f>
        <v/>
      </c>
      <c r="R6" s="11">
        <f>K6*D6/1000</f>
        <v/>
      </c>
      <c r="S6" s="11">
        <f>L6*D6/1000</f>
        <v/>
      </c>
    </row>
    <row r="7" ht="46.5" customHeight="1">
      <c r="A7" s="26" t="inlineStr">
        <is>
          <t>PILAR</t>
        </is>
      </c>
      <c r="B7" s="26" t="inlineStr">
        <is>
          <t>P15</t>
        </is>
      </c>
      <c r="C7" s="26" t="inlineStr">
        <is>
          <t>P15 - 40x50x1457-FORMA E ARMAÇÃO-R00</t>
        </is>
      </c>
      <c r="D7" s="26" t="n">
        <v>1</v>
      </c>
      <c r="E7" s="26" t="inlineStr">
        <is>
          <t>40x50</t>
        </is>
      </c>
      <c r="F7" s="26" t="n">
        <v>1457</v>
      </c>
      <c r="G7" s="26" t="n">
        <v>2.841</v>
      </c>
      <c r="H7" s="26">
        <f>G7*D7</f>
        <v/>
      </c>
      <c r="I7" s="26" t="n">
        <v>50</v>
      </c>
      <c r="J7" s="26" t="n">
        <v>20</v>
      </c>
      <c r="K7" s="46" t="n">
        <v>279.8</v>
      </c>
      <c r="L7" s="46" t="n">
        <v>0</v>
      </c>
      <c r="M7" s="46" t="n">
        <v>57.56</v>
      </c>
      <c r="N7" s="10">
        <f>G7*2400+K7+L7+M7</f>
        <v/>
      </c>
      <c r="O7" s="10">
        <f>(K7+M7)/G7</f>
        <v/>
      </c>
      <c r="P7" s="10">
        <f>L7/G7</f>
        <v/>
      </c>
      <c r="Q7" s="10">
        <f>N7*D7/1000</f>
        <v/>
      </c>
      <c r="R7" s="11">
        <f>K7*D7/1000</f>
        <v/>
      </c>
      <c r="S7" s="11">
        <f>L7*D7/1000</f>
        <v/>
      </c>
    </row>
    <row r="8" ht="46.5" customHeight="1">
      <c r="A8" s="26" t="inlineStr">
        <is>
          <t>PILAR</t>
        </is>
      </c>
      <c r="B8" s="26" t="inlineStr">
        <is>
          <t>P20</t>
        </is>
      </c>
      <c r="C8" s="26" t="inlineStr">
        <is>
          <t>P20 - 40x50x1953-FORMA E ARMAÇÃO-R00</t>
        </is>
      </c>
      <c r="D8" s="26" t="n">
        <v>1</v>
      </c>
      <c r="E8" s="26" t="inlineStr">
        <is>
          <t>40x50</t>
        </is>
      </c>
      <c r="F8" s="26" t="n">
        <v>1953</v>
      </c>
      <c r="G8" s="26" t="n">
        <v>3.956</v>
      </c>
      <c r="H8" s="26">
        <f>G8*D8</f>
        <v/>
      </c>
      <c r="I8" s="26" t="n">
        <v>50</v>
      </c>
      <c r="J8" s="26" t="n">
        <v>20</v>
      </c>
      <c r="K8" s="46" t="n">
        <v>871.78</v>
      </c>
      <c r="L8" s="46" t="n">
        <v>0</v>
      </c>
      <c r="M8" s="46" t="n">
        <v>144.28</v>
      </c>
      <c r="N8" s="10">
        <f>G8*2400+K8+L8+M8</f>
        <v/>
      </c>
      <c r="O8" s="10">
        <f>(K8+M8)/G8</f>
        <v/>
      </c>
      <c r="P8" s="10">
        <f>L8/G8</f>
        <v/>
      </c>
      <c r="Q8" s="10">
        <f>N8*D8/1000</f>
        <v/>
      </c>
      <c r="R8" s="11">
        <f>K8*D8/1000</f>
        <v/>
      </c>
      <c r="S8" s="11">
        <f>L8*D8/1000</f>
        <v/>
      </c>
    </row>
    <row r="9" ht="46.5" customHeight="1">
      <c r="A9" s="26" t="inlineStr">
        <is>
          <t>PILAR</t>
        </is>
      </c>
      <c r="B9" s="26" t="inlineStr">
        <is>
          <t>P21</t>
        </is>
      </c>
      <c r="C9" s="26" t="inlineStr">
        <is>
          <t>P21 - 40x50x1953-FORMA E ARMAÇÃO-R01</t>
        </is>
      </c>
      <c r="D9" s="26" t="n">
        <v>1</v>
      </c>
      <c r="E9" s="26" t="inlineStr">
        <is>
          <t>40x50</t>
        </is>
      </c>
      <c r="F9" s="26" t="n">
        <v>1953</v>
      </c>
      <c r="G9" s="26" t="n">
        <v>3.956</v>
      </c>
      <c r="H9" s="26">
        <f>G9*D9</f>
        <v/>
      </c>
      <c r="I9" s="26" t="n">
        <v>50</v>
      </c>
      <c r="J9" s="26" t="n">
        <v>20</v>
      </c>
      <c r="K9" s="46" t="n">
        <v>871.78</v>
      </c>
      <c r="L9" s="46" t="n">
        <v>0</v>
      </c>
      <c r="M9" s="46" t="n">
        <v>144.28</v>
      </c>
      <c r="N9" s="10">
        <f>G9*2400+K9+L9+M9</f>
        <v/>
      </c>
      <c r="O9" s="10">
        <f>(K9+M9)/G9</f>
        <v/>
      </c>
      <c r="P9" s="10">
        <f>L9/G9</f>
        <v/>
      </c>
      <c r="Q9" s="10">
        <f>N9*D9/1000</f>
        <v/>
      </c>
      <c r="R9" s="11">
        <f>K9*D9/1000</f>
        <v/>
      </c>
      <c r="S9" s="11">
        <f>L9*D9/1000</f>
        <v/>
      </c>
    </row>
    <row r="10" ht="46.5" customHeight="1">
      <c r="A10" s="57" t="inlineStr">
        <is>
          <t>PILAR</t>
        </is>
      </c>
      <c r="B10" s="57" t="inlineStr">
        <is>
          <t>P22=P23</t>
        </is>
      </c>
      <c r="C10" s="57" t="inlineStr">
        <is>
          <t>P22=P23 - 40x50x1953-FORMA E ARMAÇÃO-R01</t>
        </is>
      </c>
      <c r="D10" s="57" t="n">
        <v>2</v>
      </c>
      <c r="E10" s="57" t="inlineStr">
        <is>
          <t>40x50</t>
        </is>
      </c>
      <c r="F10" s="57" t="n">
        <v>1953</v>
      </c>
      <c r="G10" s="57" t="n">
        <v>3.993</v>
      </c>
      <c r="H10" s="57">
        <f>G10*D10</f>
        <v/>
      </c>
      <c r="I10" s="57" t="n">
        <v>50</v>
      </c>
      <c r="J10" s="57" t="n">
        <v>20</v>
      </c>
      <c r="K10" s="58" t="n">
        <v>575.59</v>
      </c>
      <c r="L10" s="58" t="n">
        <v>0</v>
      </c>
      <c r="M10" s="58" t="n">
        <v>144.28</v>
      </c>
      <c r="N10" s="59">
        <f>G10*2400+K10+L10+M10</f>
        <v/>
      </c>
      <c r="O10" s="59">
        <f>(K10+M10)/G10</f>
        <v/>
      </c>
      <c r="P10" s="59">
        <f>L10/G10</f>
        <v/>
      </c>
      <c r="Q10" s="59">
        <f>N10*D10/1000</f>
        <v/>
      </c>
      <c r="R10" s="60">
        <f>K10*D10/1000</f>
        <v/>
      </c>
      <c r="S10" s="60">
        <f>L10*D10/1000</f>
        <v/>
      </c>
    </row>
    <row r="11" ht="46.5" customHeight="1">
      <c r="A11" s="26" t="inlineStr">
        <is>
          <t>PILAR</t>
        </is>
      </c>
      <c r="B11" s="26" t="inlineStr">
        <is>
          <t>P24</t>
        </is>
      </c>
      <c r="C11" s="26" t="inlineStr">
        <is>
          <t>P24 - 40x50x2097-FORMA E ARMAÇÃO-R00</t>
        </is>
      </c>
      <c r="D11" s="26" t="n">
        <v>1</v>
      </c>
      <c r="E11" s="26" t="inlineStr">
        <is>
          <t>40x50</t>
        </is>
      </c>
      <c r="F11" s="26" t="n">
        <v>2097</v>
      </c>
      <c r="G11" s="26" t="n">
        <v>4.187</v>
      </c>
      <c r="H11" s="26">
        <f>G11*D11</f>
        <v/>
      </c>
      <c r="I11" s="26" t="n">
        <v>50</v>
      </c>
      <c r="J11" s="26" t="n">
        <v>20</v>
      </c>
      <c r="K11" s="46" t="n">
        <v>632.13</v>
      </c>
      <c r="L11" s="46" t="n">
        <v>0</v>
      </c>
      <c r="M11" s="46" t="n">
        <v>122.58</v>
      </c>
      <c r="N11" s="10">
        <f>G11*2400+K11+L11+M11</f>
        <v/>
      </c>
      <c r="O11" s="10">
        <f>(K11+M11)/G11</f>
        <v/>
      </c>
      <c r="P11" s="10">
        <f>L11/G11</f>
        <v/>
      </c>
      <c r="Q11" s="10">
        <f>N11*D11/1000</f>
        <v/>
      </c>
      <c r="R11" s="11">
        <f>K11*D11/1000</f>
        <v/>
      </c>
      <c r="S11" s="11">
        <f>L11*D11/1000</f>
        <v/>
      </c>
    </row>
    <row r="12" ht="46.5" customHeight="1">
      <c r="A12" s="26" t="inlineStr">
        <is>
          <t>PILAR</t>
        </is>
      </c>
      <c r="B12" s="26" t="inlineStr">
        <is>
          <t>P25=P47=P63=P66=P79</t>
        </is>
      </c>
      <c r="C12" s="26" t="inlineStr">
        <is>
          <t>P25=P47=P63=P66=P79 - 40x50x1457-FORMA E ARMAÇÃO-R00</t>
        </is>
      </c>
      <c r="D12" s="26" t="n">
        <v>5</v>
      </c>
      <c r="E12" s="26" t="inlineStr">
        <is>
          <t>40x50</t>
        </is>
      </c>
      <c r="F12" s="26" t="n">
        <v>1457</v>
      </c>
      <c r="G12" s="26" t="n">
        <v>2.877</v>
      </c>
      <c r="H12" s="26">
        <f>G12*D12</f>
        <v/>
      </c>
      <c r="I12" s="26" t="n">
        <v>50</v>
      </c>
      <c r="J12" s="26" t="n">
        <v>20</v>
      </c>
      <c r="K12" s="46" t="n">
        <v>279.8</v>
      </c>
      <c r="L12" s="46" t="n">
        <v>0</v>
      </c>
      <c r="M12" s="46" t="n">
        <v>50.44</v>
      </c>
      <c r="N12" s="10">
        <f>G12*2400+K12+L12+M12</f>
        <v/>
      </c>
      <c r="O12" s="10">
        <f>(K12+M12)/G12</f>
        <v/>
      </c>
      <c r="P12" s="10">
        <f>L12/G12</f>
        <v/>
      </c>
      <c r="Q12" s="10">
        <f>N12*D12/1000</f>
        <v/>
      </c>
      <c r="R12" s="11">
        <f>K12*D12/1000</f>
        <v/>
      </c>
      <c r="S12" s="11">
        <f>L12*D12/1000</f>
        <v/>
      </c>
    </row>
    <row r="13" ht="46.5" customHeight="1">
      <c r="A13" s="26" t="inlineStr">
        <is>
          <t>PILAR</t>
        </is>
      </c>
      <c r="B13" s="26" t="inlineStr">
        <is>
          <t>P34</t>
        </is>
      </c>
      <c r="C13" s="26" t="inlineStr">
        <is>
          <t>P34 - 60x30x1867-FORMA E ARMAÇÃO-R00</t>
        </is>
      </c>
      <c r="D13" s="26" t="n">
        <v>1</v>
      </c>
      <c r="E13" s="26" t="inlineStr">
        <is>
          <t>60x30</t>
        </is>
      </c>
      <c r="F13" s="26" t="n">
        <v>1867</v>
      </c>
      <c r="G13" s="26" t="n">
        <v>3.903</v>
      </c>
      <c r="H13" s="26">
        <f>G13*D13</f>
        <v/>
      </c>
      <c r="I13" s="26" t="n">
        <v>50</v>
      </c>
      <c r="J13" s="26" t="n">
        <v>20</v>
      </c>
      <c r="K13" s="46" t="n">
        <v>439.71</v>
      </c>
      <c r="L13" s="46" t="n">
        <v>0</v>
      </c>
      <c r="M13" s="46" t="n">
        <v>228.01</v>
      </c>
      <c r="N13" s="10">
        <f>G13*2400+K13+L13+M13</f>
        <v/>
      </c>
      <c r="O13" s="10">
        <f>(K13+M13)/G13</f>
        <v/>
      </c>
      <c r="P13" s="10">
        <f>L13/G13</f>
        <v/>
      </c>
      <c r="Q13" s="10">
        <f>N13*D13/1000</f>
        <v/>
      </c>
      <c r="R13" s="11">
        <f>K13*D13/1000</f>
        <v/>
      </c>
      <c r="S13" s="11">
        <f>L13*D13/1000</f>
        <v/>
      </c>
    </row>
    <row r="14" ht="46.5" customHeight="1">
      <c r="A14" s="26" t="inlineStr">
        <is>
          <t>PILAR</t>
        </is>
      </c>
      <c r="B14" s="26" t="inlineStr">
        <is>
          <t>P39</t>
        </is>
      </c>
      <c r="C14" s="26" t="inlineStr">
        <is>
          <t>P39 - 30x60x1979-FORMA E ARMAÇÃO-R01</t>
        </is>
      </c>
      <c r="D14" s="26" t="n">
        <v>1</v>
      </c>
      <c r="E14" s="26" t="inlineStr">
        <is>
          <t>30x60</t>
        </is>
      </c>
      <c r="F14" s="26" t="n">
        <v>1979</v>
      </c>
      <c r="G14" s="26" t="n">
        <v>3.863</v>
      </c>
      <c r="H14" s="26">
        <f>G14*D14</f>
        <v/>
      </c>
      <c r="I14" s="26" t="n">
        <v>50</v>
      </c>
      <c r="J14" s="26" t="n">
        <v>20</v>
      </c>
      <c r="K14" s="46" t="n">
        <v>485.2</v>
      </c>
      <c r="L14" s="46" t="n">
        <v>0</v>
      </c>
      <c r="M14" s="46" t="n">
        <v>322.5</v>
      </c>
      <c r="N14" s="10">
        <f>G14*2400+K14+L14+M14</f>
        <v/>
      </c>
      <c r="O14" s="10">
        <f>(K14+M14)/G14</f>
        <v/>
      </c>
      <c r="P14" s="10">
        <f>L14/G14</f>
        <v/>
      </c>
      <c r="Q14" s="10">
        <f>N14*D14/1000</f>
        <v/>
      </c>
      <c r="R14" s="11">
        <f>K14*D14/1000</f>
        <v/>
      </c>
      <c r="S14" s="11">
        <f>L14*D14/1000</f>
        <v/>
      </c>
    </row>
    <row r="15" ht="46.5" customHeight="1">
      <c r="A15" s="26" t="inlineStr">
        <is>
          <t>PILAR</t>
        </is>
      </c>
      <c r="B15" s="26" t="inlineStr">
        <is>
          <t>P40</t>
        </is>
      </c>
      <c r="C15" s="26" t="inlineStr">
        <is>
          <t>P40 - 40x50x1959-FORMA E ARMAÇÃO-R00</t>
        </is>
      </c>
      <c r="D15" s="26" t="n">
        <v>1</v>
      </c>
      <c r="E15" s="26" t="inlineStr">
        <is>
          <t>40x50</t>
        </is>
      </c>
      <c r="F15" s="26" t="n">
        <v>1959</v>
      </c>
      <c r="G15" s="26" t="n">
        <v>4.063</v>
      </c>
      <c r="H15" s="26">
        <f>G15*D15</f>
        <v/>
      </c>
      <c r="I15" s="26" t="n">
        <v>50</v>
      </c>
      <c r="J15" s="26" t="n">
        <v>20</v>
      </c>
      <c r="K15" s="46" t="n">
        <v>904.87</v>
      </c>
      <c r="L15" s="46" t="n">
        <v>0</v>
      </c>
      <c r="M15" s="46" t="n">
        <v>228.48</v>
      </c>
      <c r="N15" s="10">
        <f>G15*2400+K15+L15+M15</f>
        <v/>
      </c>
      <c r="O15" s="10">
        <f>(K15+M15)/G15</f>
        <v/>
      </c>
      <c r="P15" s="10">
        <f>L15/G15</f>
        <v/>
      </c>
      <c r="Q15" s="10">
        <f>N15*D15/1000</f>
        <v/>
      </c>
      <c r="R15" s="11">
        <f>K15*D15/1000</f>
        <v/>
      </c>
      <c r="S15" s="11">
        <f>L15*D15/1000</f>
        <v/>
      </c>
    </row>
    <row r="16" ht="46.5" customHeight="1">
      <c r="A16" s="26" t="inlineStr">
        <is>
          <t>PILAR</t>
        </is>
      </c>
      <c r="B16" s="26" t="inlineStr">
        <is>
          <t>P41</t>
        </is>
      </c>
      <c r="C16" s="26" t="inlineStr">
        <is>
          <t>P41 - 40x50x1953-FORMA E ARMAÇÃO-R00</t>
        </is>
      </c>
      <c r="D16" s="26" t="n">
        <v>1</v>
      </c>
      <c r="E16" s="26" t="inlineStr">
        <is>
          <t>40x50</t>
        </is>
      </c>
      <c r="F16" s="26" t="n">
        <v>1953</v>
      </c>
      <c r="G16" s="26" t="n">
        <v>4.044</v>
      </c>
      <c r="H16" s="26">
        <f>G16*D16</f>
        <v/>
      </c>
      <c r="I16" s="26" t="n">
        <v>50</v>
      </c>
      <c r="J16" s="26" t="n">
        <v>20</v>
      </c>
      <c r="K16" s="46" t="n">
        <v>892.08</v>
      </c>
      <c r="L16" s="46" t="n">
        <v>0</v>
      </c>
      <c r="M16" s="46" t="n">
        <v>244.28</v>
      </c>
      <c r="N16" s="10">
        <f>G16*2400+K16+L16+M16</f>
        <v/>
      </c>
      <c r="O16" s="10">
        <f>(K16+M16)/G16</f>
        <v/>
      </c>
      <c r="P16" s="10">
        <f>L16/G16</f>
        <v/>
      </c>
      <c r="Q16" s="10">
        <f>N16*D16/1000</f>
        <v/>
      </c>
      <c r="R16" s="11">
        <f>K16*D16/1000</f>
        <v/>
      </c>
      <c r="S16" s="11">
        <f>L16*D16/1000</f>
        <v/>
      </c>
    </row>
    <row r="17" ht="46.5" customHeight="1">
      <c r="A17" s="26" t="inlineStr">
        <is>
          <t>PILAR</t>
        </is>
      </c>
      <c r="B17" s="26" t="inlineStr">
        <is>
          <t>P42</t>
        </is>
      </c>
      <c r="C17" s="26" t="inlineStr">
        <is>
          <t>P42 - 40x50x1953-FORMA E ARMAÇÃO-R01</t>
        </is>
      </c>
      <c r="D17" s="26" t="n">
        <v>1</v>
      </c>
      <c r="E17" s="26" t="inlineStr">
        <is>
          <t>40x50</t>
        </is>
      </c>
      <c r="F17" s="26" t="n">
        <v>1953</v>
      </c>
      <c r="G17" s="26" t="n">
        <v>3.961</v>
      </c>
      <c r="H17" s="26">
        <f>G17*D17</f>
        <v/>
      </c>
      <c r="I17" s="26" t="n">
        <v>50</v>
      </c>
      <c r="J17" s="26" t="n">
        <v>20</v>
      </c>
      <c r="K17" s="46" t="n">
        <v>892.08</v>
      </c>
      <c r="L17" s="46" t="n">
        <v>0</v>
      </c>
      <c r="M17" s="46" t="n">
        <v>150.97</v>
      </c>
      <c r="N17" s="10">
        <f>G17*2400+K17+L17+M17</f>
        <v/>
      </c>
      <c r="O17" s="10">
        <f>(K17+M17)/G17</f>
        <v/>
      </c>
      <c r="P17" s="10">
        <f>L17/G17</f>
        <v/>
      </c>
      <c r="Q17" s="10">
        <f>N17*D17/1000</f>
        <v/>
      </c>
      <c r="R17" s="11">
        <f>K17*D17/1000</f>
        <v/>
      </c>
      <c r="S17" s="11">
        <f>L17*D17/1000</f>
        <v/>
      </c>
    </row>
    <row r="18" ht="46.5" customHeight="1">
      <c r="A18" s="26" t="inlineStr">
        <is>
          <t>PILAR</t>
        </is>
      </c>
      <c r="B18" s="26" t="inlineStr">
        <is>
          <t>P43</t>
        </is>
      </c>
      <c r="C18" s="26" t="inlineStr">
        <is>
          <t>P43 - 40x60x1973-FORMA E ARMAÇÃO-R01</t>
        </is>
      </c>
      <c r="D18" s="26" t="n">
        <v>1</v>
      </c>
      <c r="E18" s="26" t="inlineStr">
        <is>
          <t>40x60</t>
        </is>
      </c>
      <c r="F18" s="26" t="n">
        <v>1973</v>
      </c>
      <c r="G18" s="26" t="n">
        <v>4.801</v>
      </c>
      <c r="H18" s="26">
        <f>G18*D18</f>
        <v/>
      </c>
      <c r="I18" s="26" t="n">
        <v>50</v>
      </c>
      <c r="J18" s="26" t="n">
        <v>20</v>
      </c>
      <c r="K18" s="46" t="n">
        <v>831</v>
      </c>
      <c r="L18" s="46" t="n">
        <v>0</v>
      </c>
      <c r="M18" s="46" t="n">
        <v>160.06</v>
      </c>
      <c r="N18" s="10">
        <f>G18*2400+K18+L18+M18</f>
        <v/>
      </c>
      <c r="O18" s="10">
        <f>(K18+M18)/G18</f>
        <v/>
      </c>
      <c r="P18" s="10">
        <f>L18/G18</f>
        <v/>
      </c>
      <c r="Q18" s="10">
        <f>N18*D18/1000</f>
        <v/>
      </c>
      <c r="R18" s="11">
        <f>K18*D18/1000</f>
        <v/>
      </c>
      <c r="S18" s="11">
        <f>L18*D18/1000</f>
        <v/>
      </c>
    </row>
    <row r="19" ht="46.5" customHeight="1">
      <c r="A19" s="26" t="inlineStr">
        <is>
          <t>PILAR</t>
        </is>
      </c>
      <c r="B19" s="26" t="inlineStr">
        <is>
          <t>P44</t>
        </is>
      </c>
      <c r="C19" s="26" t="inlineStr">
        <is>
          <t>P44 - 40x60x1973-FORMA E ARMAÇÃO-R01</t>
        </is>
      </c>
      <c r="D19" s="26" t="n">
        <v>1</v>
      </c>
      <c r="E19" s="26" t="inlineStr">
        <is>
          <t>40x60</t>
        </is>
      </c>
      <c r="F19" s="26" t="n">
        <v>1973</v>
      </c>
      <c r="G19" s="26" t="n">
        <v>4.827</v>
      </c>
      <c r="H19" s="26">
        <f>G19*D19</f>
        <v/>
      </c>
      <c r="I19" s="26" t="n">
        <v>50</v>
      </c>
      <c r="J19" s="26" t="n">
        <v>20</v>
      </c>
      <c r="K19" s="46" t="n">
        <v>831</v>
      </c>
      <c r="L19" s="46" t="n">
        <v>0</v>
      </c>
      <c r="M19" s="46" t="n">
        <v>180.13</v>
      </c>
      <c r="N19" s="10">
        <f>G19*2400+K19+L19+M19</f>
        <v/>
      </c>
      <c r="O19" s="10">
        <f>(K19+M19)/G19</f>
        <v/>
      </c>
      <c r="P19" s="10">
        <f>L19/G19</f>
        <v/>
      </c>
      <c r="Q19" s="10">
        <f>N19*D19/1000</f>
        <v/>
      </c>
      <c r="R19" s="11">
        <f>K19*D19/1000</f>
        <v/>
      </c>
      <c r="S19" s="11">
        <f>L19*D19/1000</f>
        <v/>
      </c>
    </row>
    <row r="20" ht="46.5" customHeight="1">
      <c r="A20" s="26" t="inlineStr">
        <is>
          <t>PILAR</t>
        </is>
      </c>
      <c r="B20" s="26" t="inlineStr">
        <is>
          <t>P46</t>
        </is>
      </c>
      <c r="C20" s="26" t="inlineStr">
        <is>
          <t>P46 - 40x60x2117-FORMA E ARMAÇÃO-R00</t>
        </is>
      </c>
      <c r="D20" s="26" t="n">
        <v>1</v>
      </c>
      <c r="E20" s="26" t="inlineStr">
        <is>
          <t>40x60</t>
        </is>
      </c>
      <c r="F20" s="26" t="n">
        <v>2117</v>
      </c>
      <c r="G20" s="26" t="n">
        <v>5.046</v>
      </c>
      <c r="H20" s="26">
        <f>G20*D20</f>
        <v/>
      </c>
      <c r="I20" s="26" t="n">
        <v>50</v>
      </c>
      <c r="J20" s="26" t="n">
        <v>20</v>
      </c>
      <c r="K20" s="46" t="n">
        <v>884.08</v>
      </c>
      <c r="L20" s="46" t="n">
        <v>0</v>
      </c>
      <c r="M20" s="46" t="n">
        <v>155.94</v>
      </c>
      <c r="N20" s="10">
        <f>G20*2400+K20+L20+M20</f>
        <v/>
      </c>
      <c r="O20" s="10">
        <f>(K20+M20)/G20</f>
        <v/>
      </c>
      <c r="P20" s="10">
        <f>L20/G20</f>
        <v/>
      </c>
      <c r="Q20" s="10">
        <f>N20*D20/1000</f>
        <v/>
      </c>
      <c r="R20" s="11">
        <f>K20*D20/1000</f>
        <v/>
      </c>
      <c r="S20" s="11">
        <f>L20*D20/1000</f>
        <v/>
      </c>
    </row>
    <row r="21" ht="46.5" customHeight="1">
      <c r="A21" s="26" t="inlineStr">
        <is>
          <t>PILAR</t>
        </is>
      </c>
      <c r="B21" s="26" t="inlineStr">
        <is>
          <t>P51=P67=P75</t>
        </is>
      </c>
      <c r="C21" s="26" t="inlineStr">
        <is>
          <t>P51=P67=P75 - 60x30x1867-FORMA E ARMAÇÃO-R01</t>
        </is>
      </c>
      <c r="D21" s="26" t="n">
        <v>3</v>
      </c>
      <c r="E21" s="26" t="inlineStr">
        <is>
          <t>60x30</t>
        </is>
      </c>
      <c r="F21" s="26" t="n">
        <v>1867</v>
      </c>
      <c r="G21" s="26" t="n">
        <v>3.778</v>
      </c>
      <c r="H21" s="26">
        <f>G21*D21</f>
        <v/>
      </c>
      <c r="I21" s="26" t="n">
        <v>50</v>
      </c>
      <c r="J21" s="26" t="n">
        <v>20</v>
      </c>
      <c r="K21" s="46" t="n">
        <v>439.71</v>
      </c>
      <c r="L21" s="46" t="n">
        <v>0</v>
      </c>
      <c r="M21" s="46" t="n">
        <v>128.81</v>
      </c>
      <c r="N21" s="10">
        <f>G21*2400+K21+L21+M21</f>
        <v/>
      </c>
      <c r="O21" s="10">
        <f>(K21+M21)/G21</f>
        <v/>
      </c>
      <c r="P21" s="10">
        <f>L21/G21</f>
        <v/>
      </c>
      <c r="Q21" s="10">
        <f>N21*D21/1000</f>
        <v/>
      </c>
      <c r="R21" s="11">
        <f>K21*D21/1000</f>
        <v/>
      </c>
      <c r="S21" s="11">
        <f>L21*D21/1000</f>
        <v/>
      </c>
    </row>
    <row r="22" ht="46.5" customHeight="1">
      <c r="A22" s="26" t="inlineStr">
        <is>
          <t>PILAR</t>
        </is>
      </c>
      <c r="B22" s="26" t="inlineStr">
        <is>
          <t>P52=P68=P76</t>
        </is>
      </c>
      <c r="C22" s="26" t="inlineStr">
        <is>
          <t>P52=P68=P76 - 60x30x1973-FORMA E ARMAÇÃO-R02</t>
        </is>
      </c>
      <c r="D22" s="26" t="n">
        <v>3</v>
      </c>
      <c r="E22" s="26" t="inlineStr">
        <is>
          <t>60x30</t>
        </is>
      </c>
      <c r="F22" s="26" t="n">
        <v>1973</v>
      </c>
      <c r="G22" s="26" t="n">
        <v>3.685</v>
      </c>
      <c r="H22" s="26">
        <f>G22*D22</f>
        <v/>
      </c>
      <c r="I22" s="26" t="n">
        <v>50</v>
      </c>
      <c r="J22" s="26" t="n">
        <v>20</v>
      </c>
      <c r="K22" s="46" t="n">
        <v>809.87</v>
      </c>
      <c r="L22" s="46" t="n">
        <v>0</v>
      </c>
      <c r="M22" s="46" t="n">
        <v>152.49</v>
      </c>
      <c r="N22" s="10">
        <f>G22*2400+K22+L22+M22</f>
        <v/>
      </c>
      <c r="O22" s="10">
        <f>(K22+M22)/G22</f>
        <v/>
      </c>
      <c r="P22" s="10">
        <f>L22/G22</f>
        <v/>
      </c>
      <c r="Q22" s="10">
        <f>N22*D22/1000</f>
        <v/>
      </c>
      <c r="R22" s="11">
        <f>K22*D22/1000</f>
        <v/>
      </c>
      <c r="S22" s="11">
        <f>L22*D22/1000</f>
        <v/>
      </c>
    </row>
    <row r="23" ht="46.5" customHeight="1">
      <c r="A23" s="26" t="inlineStr">
        <is>
          <t>PILAR</t>
        </is>
      </c>
      <c r="B23" s="26" t="inlineStr">
        <is>
          <t>P55</t>
        </is>
      </c>
      <c r="C23" s="26" t="inlineStr">
        <is>
          <t>P55 - 30x60x1979-FORMA E ARMAÇÃO-R00</t>
        </is>
      </c>
      <c r="D23" s="26" t="n">
        <v>1</v>
      </c>
      <c r="E23" s="26" t="inlineStr">
        <is>
          <t>30x60</t>
        </is>
      </c>
      <c r="F23" s="26" t="n">
        <v>1979</v>
      </c>
      <c r="G23" s="26" t="n">
        <v>3.842</v>
      </c>
      <c r="H23" s="26">
        <f>G23*D23</f>
        <v/>
      </c>
      <c r="I23" s="26" t="n">
        <v>50</v>
      </c>
      <c r="J23" s="26" t="n">
        <v>20</v>
      </c>
      <c r="K23" s="46" t="n">
        <v>612.76</v>
      </c>
      <c r="L23" s="46" t="n">
        <v>0</v>
      </c>
      <c r="M23" s="46" t="n">
        <v>317.81</v>
      </c>
      <c r="N23" s="10">
        <f>G23*2400+K23+L23+M23</f>
        <v/>
      </c>
      <c r="O23" s="10">
        <f>(K23+M23)/G23</f>
        <v/>
      </c>
      <c r="P23" s="10">
        <f>L23/G23</f>
        <v/>
      </c>
      <c r="Q23" s="10">
        <f>N23*D23/1000</f>
        <v/>
      </c>
      <c r="R23" s="11">
        <f>K23*D23/1000</f>
        <v/>
      </c>
      <c r="S23" s="11">
        <f>L23*D23/1000</f>
        <v/>
      </c>
    </row>
    <row r="24" ht="46.5" customHeight="1">
      <c r="A24" s="26" t="inlineStr">
        <is>
          <t>PILAR</t>
        </is>
      </c>
      <c r="B24" s="26" t="inlineStr">
        <is>
          <t>P56</t>
        </is>
      </c>
      <c r="C24" s="26" t="inlineStr">
        <is>
          <t>P56 - 30x60x1979-FORMA E ARMAÇÃO-R01</t>
        </is>
      </c>
      <c r="D24" s="26" t="n">
        <v>1</v>
      </c>
      <c r="E24" s="26" t="inlineStr">
        <is>
          <t>30x60</t>
        </is>
      </c>
      <c r="F24" s="26" t="n">
        <v>1979</v>
      </c>
      <c r="G24" s="26" t="n">
        <v>3.863</v>
      </c>
      <c r="H24" s="26">
        <f>G24*D24</f>
        <v/>
      </c>
      <c r="I24" s="26" t="n">
        <v>50</v>
      </c>
      <c r="J24" s="26" t="n">
        <v>20</v>
      </c>
      <c r="K24" s="46" t="n">
        <v>485.2</v>
      </c>
      <c r="L24" s="46" t="n">
        <v>0</v>
      </c>
      <c r="M24" s="46" t="n">
        <v>322.5</v>
      </c>
      <c r="N24" s="10">
        <f>G24*2400+K24+L24+M24</f>
        <v/>
      </c>
      <c r="O24" s="10">
        <f>(K24+M24)/G24</f>
        <v/>
      </c>
      <c r="P24" s="10">
        <f>L24/G24</f>
        <v/>
      </c>
      <c r="Q24" s="10">
        <f>N24*D24/1000</f>
        <v/>
      </c>
      <c r="R24" s="11">
        <f>K24*D24/1000</f>
        <v/>
      </c>
      <c r="S24" s="11">
        <f>L24*D24/1000</f>
        <v/>
      </c>
    </row>
    <row r="25" ht="46.5" customHeight="1">
      <c r="A25" s="26" t="inlineStr">
        <is>
          <t>PILAR</t>
        </is>
      </c>
      <c r="B25" s="26" t="inlineStr">
        <is>
          <t>P57</t>
        </is>
      </c>
      <c r="C25" s="26" t="inlineStr">
        <is>
          <t>P57 - 40x50x1959-FORMA E ARMAÇÃO-R00</t>
        </is>
      </c>
      <c r="D25" s="26" t="n">
        <v>1</v>
      </c>
      <c r="E25" s="26" t="inlineStr">
        <is>
          <t>40x50</t>
        </is>
      </c>
      <c r="F25" s="26" t="n">
        <v>1959</v>
      </c>
      <c r="G25" s="26" t="n">
        <v>4.063</v>
      </c>
      <c r="H25" s="26">
        <f>G25*D25</f>
        <v/>
      </c>
      <c r="I25" s="26" t="n">
        <v>50</v>
      </c>
      <c r="J25" s="26" t="n">
        <v>20</v>
      </c>
      <c r="K25" s="46" t="n">
        <v>904.87</v>
      </c>
      <c r="L25" s="46" t="n">
        <v>0</v>
      </c>
      <c r="M25" s="46" t="n">
        <v>228.48</v>
      </c>
      <c r="N25" s="10">
        <f>G25*2400+K25+L25+M25</f>
        <v/>
      </c>
      <c r="O25" s="10">
        <f>(K25+M25)/G25</f>
        <v/>
      </c>
      <c r="P25" s="10">
        <f>L25/G25</f>
        <v/>
      </c>
      <c r="Q25" s="10">
        <f>N25*D25/1000</f>
        <v/>
      </c>
      <c r="R25" s="11">
        <f>K25*D25/1000</f>
        <v/>
      </c>
      <c r="S25" s="11">
        <f>L25*D25/1000</f>
        <v/>
      </c>
    </row>
    <row r="26" ht="46.5" customHeight="1">
      <c r="A26" s="26" t="inlineStr">
        <is>
          <t>PILAR</t>
        </is>
      </c>
      <c r="B26" s="26" t="inlineStr">
        <is>
          <t>P58=P59</t>
        </is>
      </c>
      <c r="C26" s="26" t="inlineStr">
        <is>
          <t>P58=P59 - 40x50x1959-FORMA E ARMAÇÃO-R00</t>
        </is>
      </c>
      <c r="D26" s="26" t="n">
        <v>2</v>
      </c>
      <c r="E26" s="26" t="inlineStr">
        <is>
          <t>40x50</t>
        </is>
      </c>
      <c r="F26" s="26" t="n">
        <v>1959</v>
      </c>
      <c r="G26" s="26" t="n">
        <v>4.061</v>
      </c>
      <c r="H26" s="26">
        <f>G26*D26</f>
        <v/>
      </c>
      <c r="I26" s="26" t="n">
        <v>50</v>
      </c>
      <c r="J26" s="26" t="n">
        <v>20</v>
      </c>
      <c r="K26" s="46" t="n">
        <v>904.87</v>
      </c>
      <c r="L26" s="46" t="n">
        <v>0</v>
      </c>
      <c r="M26" s="46" t="n">
        <v>237.36</v>
      </c>
      <c r="N26" s="10">
        <f>G26*2400+K26+L26+M26</f>
        <v/>
      </c>
      <c r="O26" s="10">
        <f>(K26+M26)/G26</f>
        <v/>
      </c>
      <c r="P26" s="10">
        <f>L26/G26</f>
        <v/>
      </c>
      <c r="Q26" s="10">
        <f>N26*D26/1000</f>
        <v/>
      </c>
      <c r="R26" s="11">
        <f>K26*D26/1000</f>
        <v/>
      </c>
      <c r="S26" s="11">
        <f>L26*D26/1000</f>
        <v/>
      </c>
    </row>
    <row r="27" ht="46.5" customHeight="1">
      <c r="A27" s="26" t="inlineStr">
        <is>
          <t>PILAR</t>
        </is>
      </c>
      <c r="B27" s="26" t="inlineStr">
        <is>
          <t>P60</t>
        </is>
      </c>
      <c r="C27" s="26" t="inlineStr">
        <is>
          <t>P60 - 40x60x1979-FORMA E ARMAÇÃO-R00</t>
        </is>
      </c>
      <c r="D27" s="26" t="n">
        <v>1</v>
      </c>
      <c r="E27" s="26" t="inlineStr">
        <is>
          <t>40x60</t>
        </is>
      </c>
      <c r="F27" s="26" t="n">
        <v>1979</v>
      </c>
      <c r="G27" s="26" t="n">
        <v>4.901</v>
      </c>
      <c r="H27" s="26">
        <f>G27*D27</f>
        <v/>
      </c>
      <c r="I27" s="26" t="n">
        <v>50</v>
      </c>
      <c r="J27" s="26" t="n">
        <v>20</v>
      </c>
      <c r="K27" s="46" t="n">
        <v>844.1900000000001</v>
      </c>
      <c r="L27" s="46" t="n">
        <v>0</v>
      </c>
      <c r="M27" s="46" t="n">
        <v>237.36</v>
      </c>
      <c r="N27" s="10">
        <f>G27*2400+K27+L27+M27</f>
        <v/>
      </c>
      <c r="O27" s="10">
        <f>(K27+M27)/G27</f>
        <v/>
      </c>
      <c r="P27" s="10">
        <f>L27/G27</f>
        <v/>
      </c>
      <c r="Q27" s="10">
        <f>N27*D27/1000</f>
        <v/>
      </c>
      <c r="R27" s="11">
        <f>K27*D27/1000</f>
        <v/>
      </c>
      <c r="S27" s="11">
        <f>L27*D27/1000</f>
        <v/>
      </c>
    </row>
    <row r="28" ht="46.5" customHeight="1">
      <c r="A28" s="26" t="inlineStr">
        <is>
          <t>PILAR</t>
        </is>
      </c>
      <c r="B28" s="26" t="inlineStr">
        <is>
          <t>P61</t>
        </is>
      </c>
      <c r="C28" s="26" t="inlineStr">
        <is>
          <t>P61 - 40x60x1973-FORMA E ARMAÇÃO-R00</t>
        </is>
      </c>
      <c r="D28" s="26" t="n">
        <v>1</v>
      </c>
      <c r="E28" s="26" t="inlineStr">
        <is>
          <t>40x60</t>
        </is>
      </c>
      <c r="F28" s="26" t="n">
        <v>1973</v>
      </c>
      <c r="G28" s="26" t="n">
        <v>4.874</v>
      </c>
      <c r="H28" s="26">
        <f>G28*D28</f>
        <v/>
      </c>
      <c r="I28" s="26" t="n">
        <v>50</v>
      </c>
      <c r="J28" s="26" t="n">
        <v>20</v>
      </c>
      <c r="K28" s="46" t="n">
        <v>831</v>
      </c>
      <c r="L28" s="46" t="n">
        <v>0</v>
      </c>
      <c r="M28" s="46" t="n">
        <v>251.24</v>
      </c>
      <c r="N28" s="10">
        <f>G28*2400+K28+L28+M28</f>
        <v/>
      </c>
      <c r="O28" s="10">
        <f>(K28+M28)/G28</f>
        <v/>
      </c>
      <c r="P28" s="10">
        <f>L28/G28</f>
        <v/>
      </c>
      <c r="Q28" s="10">
        <f>N28*D28/1000</f>
        <v/>
      </c>
      <c r="R28" s="11">
        <f>K28*D28/1000</f>
        <v/>
      </c>
      <c r="S28" s="11">
        <f>L28*D28/1000</f>
        <v/>
      </c>
    </row>
    <row r="29" ht="46.5" customHeight="1">
      <c r="A29" s="26" t="inlineStr">
        <is>
          <t>PILAR</t>
        </is>
      </c>
      <c r="B29" s="26" t="inlineStr">
        <is>
          <t>P62</t>
        </is>
      </c>
      <c r="C29" s="26" t="inlineStr">
        <is>
          <t>P62 - 40x60x2117-FORMA E ARMAÇÃO-R00</t>
        </is>
      </c>
      <c r="D29" s="26" t="n">
        <v>1</v>
      </c>
      <c r="E29" s="26" t="inlineStr">
        <is>
          <t>40x60</t>
        </is>
      </c>
      <c r="F29" s="26" t="n">
        <v>2117</v>
      </c>
      <c r="G29" s="26" t="n">
        <v>5.011</v>
      </c>
      <c r="H29" s="26">
        <f>G29*D29</f>
        <v/>
      </c>
      <c r="I29" s="26" t="n">
        <v>50</v>
      </c>
      <c r="J29" s="26" t="n">
        <v>20</v>
      </c>
      <c r="K29" s="46" t="n">
        <v>884.08</v>
      </c>
      <c r="L29" s="46" t="n">
        <v>0</v>
      </c>
      <c r="M29" s="46" t="n">
        <v>129.18</v>
      </c>
      <c r="N29" s="10">
        <f>G29*2400+K29+L29+M29</f>
        <v/>
      </c>
      <c r="O29" s="10">
        <f>(K29+M29)/G29</f>
        <v/>
      </c>
      <c r="P29" s="10">
        <f>L29/G29</f>
        <v/>
      </c>
      <c r="Q29" s="10">
        <f>N29*D29/1000</f>
        <v/>
      </c>
      <c r="R29" s="11">
        <f>K29*D29/1000</f>
        <v/>
      </c>
      <c r="S29" s="11">
        <f>L29*D29/1000</f>
        <v/>
      </c>
    </row>
    <row r="30" ht="46.5" customHeight="1">
      <c r="A30" s="26" t="inlineStr">
        <is>
          <t>PILAR</t>
        </is>
      </c>
      <c r="B30" s="26" t="inlineStr">
        <is>
          <t>P69=P78</t>
        </is>
      </c>
      <c r="C30" s="26" t="inlineStr">
        <is>
          <t>P69=P78 - 40x60x2117-FORMA E ARMAÇÃO-R01</t>
        </is>
      </c>
      <c r="D30" s="26" t="n">
        <v>2</v>
      </c>
      <c r="E30" s="26" t="inlineStr">
        <is>
          <t>40x60</t>
        </is>
      </c>
      <c r="F30" s="26" t="n">
        <v>2117</v>
      </c>
      <c r="G30" s="26" t="n">
        <v>5.032</v>
      </c>
      <c r="H30" s="26">
        <f>G30*D30</f>
        <v/>
      </c>
      <c r="I30" s="26" t="n">
        <v>50</v>
      </c>
      <c r="J30" s="26" t="n">
        <v>20</v>
      </c>
      <c r="K30" s="46" t="n">
        <v>718.3200000000001</v>
      </c>
      <c r="L30" s="46" t="n">
        <v>0</v>
      </c>
      <c r="M30" s="46" t="n">
        <v>129.18</v>
      </c>
      <c r="N30" s="10">
        <f>G30*2400+K30+L30+M30</f>
        <v/>
      </c>
      <c r="O30" s="10">
        <f>(K30+M30)/G30</f>
        <v/>
      </c>
      <c r="P30" s="10">
        <f>L30/G30</f>
        <v/>
      </c>
      <c r="Q30" s="10">
        <f>N30*D30/1000</f>
        <v/>
      </c>
      <c r="R30" s="11">
        <f>K30*D30/1000</f>
        <v/>
      </c>
      <c r="S30" s="11">
        <f>L30*D30/1000</f>
        <v/>
      </c>
    </row>
    <row r="31" ht="46.5" customHeight="1">
      <c r="A31" s="26" t="inlineStr">
        <is>
          <t>PILAR</t>
        </is>
      </c>
      <c r="B31" s="26" t="inlineStr">
        <is>
          <t>P73</t>
        </is>
      </c>
      <c r="C31" s="26" t="inlineStr">
        <is>
          <t>P73 - 40x50x1967-FORMA E ARMAÇÃO-R02</t>
        </is>
      </c>
      <c r="D31" s="26" t="n">
        <v>1</v>
      </c>
      <c r="E31" s="26" t="inlineStr">
        <is>
          <t>40x50</t>
        </is>
      </c>
      <c r="F31" s="26" t="n">
        <v>1967</v>
      </c>
      <c r="G31" s="26" t="n">
        <v>3.977</v>
      </c>
      <c r="H31" s="26">
        <f>G31*D31</f>
        <v/>
      </c>
      <c r="I31" s="26" t="n">
        <v>50</v>
      </c>
      <c r="J31" s="26" t="n">
        <v>20</v>
      </c>
      <c r="K31" s="46" t="n">
        <v>380.32</v>
      </c>
      <c r="L31" s="46" t="n">
        <v>0</v>
      </c>
      <c r="M31" s="46" t="n">
        <v>100</v>
      </c>
      <c r="N31" s="10">
        <f>G31*2400+K31+L31+M31</f>
        <v/>
      </c>
      <c r="O31" s="10">
        <f>(K31+M31)/G31</f>
        <v/>
      </c>
      <c r="P31" s="10">
        <f>L31/G31</f>
        <v/>
      </c>
      <c r="Q31" s="10">
        <f>N31*D31/1000</f>
        <v/>
      </c>
      <c r="R31" s="11">
        <f>K31*D31/1000</f>
        <v/>
      </c>
      <c r="S31" s="11">
        <f>L31*D31/1000</f>
        <v/>
      </c>
    </row>
    <row r="32" ht="46.5" customHeight="1">
      <c r="A32" s="26" t="inlineStr">
        <is>
          <t>PILAR</t>
        </is>
      </c>
      <c r="B32" s="26" t="inlineStr">
        <is>
          <t>P82</t>
        </is>
      </c>
      <c r="C32" s="26" t="inlineStr">
        <is>
          <t>P82 - 60x30x2117-FORMA E ARMAÇÃO-R00</t>
        </is>
      </c>
      <c r="D32" s="26" t="n">
        <v>1</v>
      </c>
      <c r="E32" s="26" t="inlineStr">
        <is>
          <t>60x30</t>
        </is>
      </c>
      <c r="F32" s="26" t="n">
        <v>2117</v>
      </c>
      <c r="G32" s="26" t="n">
        <v>3.952</v>
      </c>
      <c r="H32" s="26">
        <f>G32*D32</f>
        <v/>
      </c>
      <c r="I32" s="26" t="n">
        <v>50</v>
      </c>
      <c r="J32" s="26" t="n">
        <v>20</v>
      </c>
      <c r="K32" s="46" t="n">
        <v>465.13</v>
      </c>
      <c r="L32" s="46" t="n">
        <v>0</v>
      </c>
      <c r="M32" s="46" t="n">
        <v>152.26</v>
      </c>
      <c r="N32" s="10">
        <f>G32*2400+K32+L32+M32</f>
        <v/>
      </c>
      <c r="O32" s="10">
        <f>(K32+M32)/G32</f>
        <v/>
      </c>
      <c r="P32" s="10">
        <f>L32/G32</f>
        <v/>
      </c>
      <c r="Q32" s="10">
        <f>N32*D32/1000</f>
        <v/>
      </c>
      <c r="R32" s="11">
        <f>K32*D32/1000</f>
        <v/>
      </c>
      <c r="S32" s="11">
        <f>L32*D32/1000</f>
        <v/>
      </c>
    </row>
    <row r="33" ht="46.5" customHeight="1">
      <c r="A33" s="26" t="inlineStr">
        <is>
          <t>PILAR</t>
        </is>
      </c>
      <c r="B33" s="26" t="inlineStr">
        <is>
          <t>P84</t>
        </is>
      </c>
      <c r="C33" s="26" t="inlineStr">
        <is>
          <t>P84 - 60x30x2117-FORMA E ARMAÇÃO-R00</t>
        </is>
      </c>
      <c r="D33" s="26" t="n">
        <v>1</v>
      </c>
      <c r="E33" s="26" t="inlineStr">
        <is>
          <t>60x30</t>
        </is>
      </c>
      <c r="F33" s="26" t="n">
        <v>2117</v>
      </c>
      <c r="G33" s="26" t="n">
        <v>4.026</v>
      </c>
      <c r="H33" s="26">
        <f>G33*D33</f>
        <v/>
      </c>
      <c r="I33" s="26" t="n">
        <v>50</v>
      </c>
      <c r="J33" s="26" t="n">
        <v>20</v>
      </c>
      <c r="K33" s="46" t="n">
        <v>465.13</v>
      </c>
      <c r="L33" s="46" t="n">
        <v>0</v>
      </c>
      <c r="M33" s="46" t="n">
        <v>206.35</v>
      </c>
      <c r="N33" s="10">
        <f>G33*2400+K33+L33+M33</f>
        <v/>
      </c>
      <c r="O33" s="10">
        <f>(K33+M33)/G33</f>
        <v/>
      </c>
      <c r="P33" s="10">
        <f>L33/G33</f>
        <v/>
      </c>
      <c r="Q33" s="10">
        <f>N33*D33/1000</f>
        <v/>
      </c>
      <c r="R33" s="11">
        <f>K33*D33/1000</f>
        <v/>
      </c>
      <c r="S33" s="11">
        <f>L33*D33/1000</f>
        <v/>
      </c>
    </row>
    <row r="34" ht="46.5" customHeight="1">
      <c r="A34" s="26" t="inlineStr">
        <is>
          <t>PILAR</t>
        </is>
      </c>
      <c r="B34" s="26" t="inlineStr">
        <is>
          <t>P85</t>
        </is>
      </c>
      <c r="C34" s="26" t="inlineStr">
        <is>
          <t>P85 - 60x40x2117-FORMA E ARMAÇÃO-R00</t>
        </is>
      </c>
      <c r="D34" s="26" t="n">
        <v>1</v>
      </c>
      <c r="E34" s="26" t="inlineStr">
        <is>
          <t>60x40</t>
        </is>
      </c>
      <c r="F34" s="26" t="n">
        <v>2117</v>
      </c>
      <c r="G34" s="26" t="n">
        <v>5.189</v>
      </c>
      <c r="H34" s="26">
        <f>G34*D34</f>
        <v/>
      </c>
      <c r="I34" s="26" t="n">
        <v>50</v>
      </c>
      <c r="J34" s="26" t="n">
        <v>20</v>
      </c>
      <c r="K34" s="46" t="n">
        <v>719.92</v>
      </c>
      <c r="L34" s="46" t="n">
        <v>0</v>
      </c>
      <c r="M34" s="46" t="n">
        <v>152.26</v>
      </c>
      <c r="N34" s="10">
        <f>G34*2400+K34+L34+M34</f>
        <v/>
      </c>
      <c r="O34" s="10">
        <f>(K34+M34)/G34</f>
        <v/>
      </c>
      <c r="P34" s="10">
        <f>L34/G34</f>
        <v/>
      </c>
      <c r="Q34" s="10">
        <f>N34*D34/1000</f>
        <v/>
      </c>
      <c r="R34" s="11">
        <f>K34*D34/1000</f>
        <v/>
      </c>
      <c r="S34" s="11">
        <f>L34*D34/1000</f>
        <v/>
      </c>
    </row>
    <row r="35" ht="46.5" customHeight="1">
      <c r="A35" s="26" t="inlineStr">
        <is>
          <t>PILAR</t>
        </is>
      </c>
      <c r="B35" s="26" t="inlineStr">
        <is>
          <t>P88</t>
        </is>
      </c>
      <c r="C35" s="26" t="inlineStr">
        <is>
          <t>P88 - 40x50x1457-FORMA E ARMAÇÃO-R00</t>
        </is>
      </c>
      <c r="D35" s="26" t="n">
        <v>1</v>
      </c>
      <c r="E35" s="26" t="inlineStr">
        <is>
          <t>40x50</t>
        </is>
      </c>
      <c r="F35" s="26" t="n">
        <v>1457</v>
      </c>
      <c r="G35" s="26" t="n">
        <v>2.841</v>
      </c>
      <c r="H35" s="26">
        <f>G35*D35</f>
        <v/>
      </c>
      <c r="I35" s="26" t="n">
        <v>50</v>
      </c>
      <c r="J35" s="26" t="n">
        <v>20</v>
      </c>
      <c r="K35" s="46" t="n">
        <v>279.8</v>
      </c>
      <c r="L35" s="46" t="n">
        <v>0</v>
      </c>
      <c r="M35" s="46" t="n">
        <v>57.56</v>
      </c>
      <c r="N35" s="10">
        <f>G35*2400+K35+L35+M35</f>
        <v/>
      </c>
      <c r="O35" s="10">
        <f>(K35+M35)/G35</f>
        <v/>
      </c>
      <c r="P35" s="10">
        <f>L35/G35</f>
        <v/>
      </c>
      <c r="Q35" s="10">
        <f>N35*D35/1000</f>
        <v/>
      </c>
      <c r="R35" s="11">
        <f>K35*D35/1000</f>
        <v/>
      </c>
      <c r="S35" s="11">
        <f>L35*D35/1000</f>
        <v/>
      </c>
    </row>
    <row r="36" ht="46.5" customHeight="1">
      <c r="A36" s="26" t="n"/>
      <c r="B36" s="26" t="n"/>
      <c r="C36" s="26" t="n"/>
      <c r="D36" s="26" t="n"/>
      <c r="E36" s="26" t="n"/>
      <c r="F36" s="26" t="n"/>
      <c r="G36" s="26" t="n"/>
      <c r="H36" s="26" t="n"/>
      <c r="I36" s="26" t="n"/>
      <c r="J36" s="26" t="n"/>
      <c r="K36" s="46" t="n"/>
      <c r="L36" s="46" t="n"/>
      <c r="M36" s="46" t="n"/>
      <c r="N36" s="10" t="n"/>
      <c r="O36" s="10" t="n"/>
      <c r="P36" s="10" t="n"/>
      <c r="Q36" s="10" t="n"/>
      <c r="R36" s="11" t="n"/>
      <c r="S36" s="11" t="n"/>
    </row>
    <row r="37" ht="46.5" customHeight="1">
      <c r="A37" s="26" t="n"/>
      <c r="B37" s="26" t="n"/>
      <c r="C37" s="26" t="n"/>
      <c r="D37" s="26" t="n"/>
      <c r="E37" s="26" t="n"/>
      <c r="F37" s="26" t="n"/>
      <c r="G37" s="26" t="n"/>
      <c r="H37" s="26" t="n"/>
      <c r="I37" s="26" t="n"/>
      <c r="J37" s="26" t="n"/>
      <c r="K37" s="46" t="n"/>
      <c r="L37" s="46" t="n"/>
      <c r="M37" s="46" t="n"/>
      <c r="N37" s="10" t="n"/>
      <c r="O37" s="10" t="n"/>
      <c r="P37" s="10" t="n"/>
      <c r="Q37" s="10" t="n"/>
      <c r="R37" s="11" t="n"/>
      <c r="S37" s="11" t="n"/>
    </row>
    <row r="38" ht="46.5" customHeight="1">
      <c r="A38" s="26" t="n"/>
      <c r="B38" s="26" t="n"/>
      <c r="C38" s="26" t="n"/>
      <c r="D38" s="26" t="n"/>
      <c r="E38" s="26" t="n"/>
      <c r="F38" s="26" t="n"/>
      <c r="G38" s="26" t="n"/>
      <c r="H38" s="26" t="n"/>
      <c r="I38" s="26" t="n"/>
      <c r="J38" s="26" t="n"/>
      <c r="K38" s="46" t="n"/>
      <c r="L38" s="46" t="n"/>
      <c r="M38" s="46" t="n"/>
      <c r="N38" s="10" t="n"/>
      <c r="O38" s="10" t="n"/>
      <c r="P38" s="10" t="n"/>
      <c r="Q38" s="10" t="n"/>
      <c r="R38" s="11" t="n"/>
      <c r="S38" s="11" t="n"/>
    </row>
    <row r="39" ht="46.5" customHeight="1">
      <c r="A39" s="26" t="n"/>
      <c r="B39" s="26" t="n"/>
      <c r="C39" s="26" t="n"/>
      <c r="D39" s="26" t="n"/>
      <c r="E39" s="26" t="n"/>
      <c r="F39" s="26" t="n"/>
      <c r="G39" s="26" t="n"/>
      <c r="H39" s="26" t="n"/>
      <c r="I39" s="26" t="n"/>
      <c r="J39" s="26" t="n"/>
      <c r="K39" s="46" t="n"/>
      <c r="L39" s="46" t="n"/>
      <c r="M39" s="46" t="n"/>
      <c r="N39" s="10" t="n"/>
      <c r="O39" s="10" t="n"/>
      <c r="P39" s="10" t="n"/>
      <c r="Q39" s="10" t="n"/>
      <c r="R39" s="11" t="n"/>
      <c r="S39" s="11" t="n"/>
    </row>
    <row r="40" ht="46.5" customHeight="1">
      <c r="A40" s="26" t="n"/>
      <c r="B40" s="26" t="n"/>
      <c r="C40" s="26" t="n"/>
      <c r="D40" s="26" t="n"/>
      <c r="E40" s="26" t="n"/>
      <c r="F40" s="26" t="n"/>
      <c r="G40" s="26" t="n"/>
      <c r="H40" s="26" t="n"/>
      <c r="I40" s="26" t="n"/>
      <c r="J40" s="26" t="n"/>
      <c r="K40" s="46" t="n"/>
      <c r="L40" s="46" t="n"/>
      <c r="M40" s="46" t="n"/>
      <c r="N40" s="10" t="n"/>
      <c r="O40" s="10" t="n"/>
      <c r="P40" s="10" t="n"/>
      <c r="Q40" s="10" t="n"/>
      <c r="R40" s="11" t="n"/>
      <c r="S40" s="11" t="n"/>
    </row>
    <row r="41" ht="46.5" customHeight="1">
      <c r="A41" s="26" t="n"/>
      <c r="B41" s="26" t="n"/>
      <c r="C41" s="26" t="n"/>
      <c r="D41" s="26" t="n"/>
      <c r="E41" s="26" t="n"/>
      <c r="F41" s="26" t="n"/>
      <c r="G41" s="26" t="n"/>
      <c r="H41" s="26" t="n"/>
      <c r="I41" s="26" t="n"/>
      <c r="J41" s="26" t="n"/>
      <c r="K41" s="46" t="n"/>
      <c r="L41" s="46" t="n"/>
      <c r="M41" s="46" t="n"/>
      <c r="N41" s="10" t="n"/>
      <c r="O41" s="10" t="n"/>
      <c r="P41" s="10" t="n"/>
      <c r="Q41" s="10" t="n"/>
      <c r="R41" s="11" t="n"/>
      <c r="S41" s="11" t="n"/>
    </row>
    <row r="42" ht="46.5" customHeight="1">
      <c r="A42" s="26" t="n"/>
      <c r="B42" s="26" t="n"/>
      <c r="C42" s="26" t="n"/>
      <c r="D42" s="26" t="n"/>
      <c r="E42" s="26" t="n"/>
      <c r="F42" s="26" t="n"/>
      <c r="G42" s="26" t="n"/>
      <c r="H42" s="26" t="n"/>
      <c r="I42" s="26" t="n"/>
      <c r="J42" s="26" t="n"/>
      <c r="K42" s="46" t="n"/>
      <c r="L42" s="46" t="n"/>
      <c r="M42" s="46" t="n"/>
      <c r="N42" s="10" t="n"/>
      <c r="O42" s="10" t="n"/>
      <c r="P42" s="10" t="n"/>
      <c r="Q42" s="10" t="n"/>
      <c r="R42" s="11" t="n"/>
      <c r="S42" s="11" t="n"/>
    </row>
    <row r="43" ht="46.5" customHeight="1">
      <c r="A43" s="26" t="n"/>
      <c r="B43" s="26" t="n"/>
      <c r="C43" s="26" t="n"/>
      <c r="D43" s="26" t="n"/>
      <c r="E43" s="26" t="n"/>
      <c r="F43" s="26" t="n"/>
      <c r="G43" s="26" t="n"/>
      <c r="H43" s="26" t="n"/>
      <c r="I43" s="26" t="n"/>
      <c r="J43" s="26" t="n"/>
      <c r="K43" s="46" t="n"/>
      <c r="L43" s="46" t="n"/>
      <c r="M43" s="46" t="n"/>
      <c r="N43" s="10" t="n"/>
      <c r="O43" s="10" t="n"/>
      <c r="P43" s="10" t="n"/>
      <c r="Q43" s="10" t="n"/>
      <c r="R43" s="11" t="n"/>
      <c r="S43" s="11" t="n"/>
    </row>
    <row r="44" ht="46.5" customHeight="1">
      <c r="A44" s="26" t="n"/>
      <c r="B44" s="26" t="n"/>
      <c r="C44" s="26" t="n"/>
      <c r="D44" s="26" t="n"/>
      <c r="E44" s="26" t="n"/>
      <c r="F44" s="26" t="n"/>
      <c r="G44" s="26" t="n"/>
      <c r="H44" s="26" t="n"/>
      <c r="I44" s="26" t="n"/>
      <c r="J44" s="26" t="n"/>
      <c r="K44" s="46" t="n"/>
      <c r="L44" s="46" t="n"/>
      <c r="M44" s="46" t="n"/>
      <c r="N44" s="10" t="n"/>
      <c r="O44" s="10" t="n"/>
      <c r="P44" s="10" t="n"/>
      <c r="Q44" s="10" t="n"/>
      <c r="R44" s="11" t="n"/>
      <c r="S44" s="11" t="n"/>
    </row>
    <row r="45" ht="46.5" customHeight="1">
      <c r="A45" s="26" t="n"/>
      <c r="B45" s="26" t="n"/>
      <c r="C45" s="26" t="n"/>
      <c r="D45" s="26" t="n"/>
      <c r="E45" s="26" t="n"/>
      <c r="F45" s="26" t="n"/>
      <c r="G45" s="26" t="n"/>
      <c r="H45" s="26" t="n"/>
      <c r="I45" s="26" t="n"/>
      <c r="J45" s="26" t="n"/>
      <c r="K45" s="46" t="n"/>
      <c r="L45" s="46" t="n"/>
      <c r="M45" s="46" t="n"/>
      <c r="N45" s="10" t="n"/>
      <c r="O45" s="10" t="n"/>
      <c r="P45" s="10" t="n"/>
      <c r="Q45" s="10" t="n"/>
      <c r="R45" s="11" t="n"/>
      <c r="S45" s="11" t="n"/>
    </row>
    <row r="46" ht="46.5" customHeight="1">
      <c r="A46" s="26" t="n"/>
      <c r="B46" s="26" t="n"/>
      <c r="C46" s="26" t="n"/>
      <c r="D46" s="26" t="n"/>
      <c r="E46" s="26" t="n"/>
      <c r="F46" s="26" t="n"/>
      <c r="G46" s="26" t="n"/>
      <c r="H46" s="26" t="n"/>
      <c r="I46" s="26" t="n"/>
      <c r="J46" s="26" t="n"/>
      <c r="K46" s="46" t="n"/>
      <c r="L46" s="46" t="n"/>
      <c r="M46" s="46" t="n"/>
      <c r="N46" s="10" t="n"/>
      <c r="O46" s="10" t="n"/>
      <c r="P46" s="10" t="n"/>
      <c r="Q46" s="10" t="n"/>
      <c r="R46" s="11" t="n"/>
      <c r="S46" s="11" t="n"/>
    </row>
    <row r="47" ht="46.5" customHeight="1">
      <c r="A47" s="26" t="n"/>
      <c r="B47" s="26" t="n"/>
      <c r="C47" s="26" t="n"/>
      <c r="D47" s="26" t="n"/>
      <c r="E47" s="26" t="n"/>
      <c r="F47" s="26" t="n"/>
      <c r="G47" s="26" t="n"/>
      <c r="H47" s="26" t="n"/>
      <c r="I47" s="26" t="n"/>
      <c r="J47" s="26" t="n"/>
      <c r="K47" s="46" t="n"/>
      <c r="L47" s="46" t="n"/>
      <c r="M47" s="46" t="n"/>
      <c r="N47" s="10" t="n"/>
      <c r="O47" s="10" t="n"/>
      <c r="P47" s="10" t="n"/>
      <c r="Q47" s="10" t="n"/>
      <c r="R47" s="11" t="n"/>
      <c r="S47" s="11" t="n"/>
    </row>
    <row r="48" ht="46.5" customHeight="1">
      <c r="A48" s="26" t="n"/>
      <c r="B48" s="26" t="n"/>
      <c r="C48" s="26" t="n"/>
      <c r="D48" s="26" t="n"/>
      <c r="E48" s="26" t="n"/>
      <c r="F48" s="26" t="n"/>
      <c r="G48" s="26" t="n"/>
      <c r="H48" s="26" t="n"/>
      <c r="I48" s="26" t="n"/>
      <c r="J48" s="26" t="n"/>
      <c r="K48" s="46" t="n"/>
      <c r="L48" s="46" t="n"/>
      <c r="M48" s="46" t="n"/>
      <c r="N48" s="10" t="n"/>
      <c r="O48" s="10" t="n"/>
      <c r="P48" s="10" t="n"/>
      <c r="Q48" s="10" t="n"/>
      <c r="R48" s="11" t="n"/>
      <c r="S48" s="11" t="n"/>
    </row>
    <row r="49" ht="46.5" customHeight="1">
      <c r="A49" s="26" t="n"/>
      <c r="B49" s="26" t="n"/>
      <c r="C49" s="26" t="n"/>
      <c r="D49" s="26" t="n"/>
      <c r="E49" s="26" t="n"/>
      <c r="F49" s="26" t="n"/>
      <c r="G49" s="26" t="n"/>
      <c r="H49" s="26" t="n"/>
      <c r="I49" s="26" t="n"/>
      <c r="J49" s="26" t="n"/>
      <c r="K49" s="46" t="n"/>
      <c r="L49" s="46" t="n"/>
      <c r="M49" s="46" t="n"/>
      <c r="N49" s="10" t="n"/>
      <c r="O49" s="10" t="n"/>
      <c r="P49" s="10" t="n"/>
      <c r="Q49" s="10" t="n"/>
      <c r="R49" s="11" t="n"/>
      <c r="S49" s="11" t="n"/>
    </row>
    <row r="50" ht="46.5" customHeight="1">
      <c r="A50" s="26" t="n"/>
      <c r="B50" s="26" t="n"/>
      <c r="C50" s="26" t="n"/>
      <c r="D50" s="26" t="n"/>
      <c r="E50" s="26" t="n"/>
      <c r="F50" s="26" t="n"/>
      <c r="G50" s="26" t="n"/>
      <c r="H50" s="26" t="n"/>
      <c r="I50" s="26" t="n"/>
      <c r="J50" s="26" t="n"/>
      <c r="K50" s="46" t="n"/>
      <c r="L50" s="46" t="n"/>
      <c r="M50" s="46" t="n"/>
      <c r="N50" s="10" t="n"/>
      <c r="O50" s="10" t="n"/>
      <c r="P50" s="10" t="n"/>
      <c r="Q50" s="10" t="n"/>
      <c r="R50" s="11" t="n"/>
      <c r="S50" s="11" t="n"/>
    </row>
    <row r="51" ht="46.5" customHeight="1">
      <c r="A51" s="26" t="n"/>
      <c r="B51" s="26" t="n"/>
      <c r="C51" s="26" t="n"/>
      <c r="D51" s="26" t="n"/>
      <c r="E51" s="26" t="n"/>
      <c r="F51" s="26" t="n"/>
      <c r="G51" s="26" t="n"/>
      <c r="H51" s="26" t="n"/>
      <c r="I51" s="26" t="n"/>
      <c r="J51" s="26" t="n"/>
      <c r="K51" s="46" t="n"/>
      <c r="L51" s="46" t="n"/>
      <c r="M51" s="46" t="n"/>
      <c r="N51" s="10" t="n"/>
      <c r="O51" s="10" t="n"/>
      <c r="P51" s="10" t="n"/>
      <c r="Q51" s="10" t="n"/>
      <c r="R51" s="11" t="n"/>
      <c r="S51" s="11" t="n"/>
    </row>
    <row r="52" ht="46.5" customHeight="1">
      <c r="A52" s="26" t="n"/>
      <c r="B52" s="26" t="n"/>
      <c r="C52" s="26" t="n"/>
      <c r="D52" s="26" t="n"/>
      <c r="E52" s="26" t="n"/>
      <c r="F52" s="26" t="n"/>
      <c r="G52" s="26" t="n"/>
      <c r="H52" s="26" t="n"/>
      <c r="I52" s="26" t="n"/>
      <c r="J52" s="26" t="n"/>
      <c r="K52" s="46" t="n"/>
      <c r="L52" s="46" t="n"/>
      <c r="M52" s="46" t="n"/>
      <c r="N52" s="10" t="n"/>
      <c r="O52" s="10" t="n"/>
      <c r="P52" s="10" t="n"/>
      <c r="Q52" s="10" t="n"/>
      <c r="R52" s="11" t="n"/>
      <c r="S52" s="11" t="n"/>
    </row>
    <row r="53" ht="46.5" customHeight="1">
      <c r="A53" s="26" t="n"/>
      <c r="B53" s="26" t="n"/>
      <c r="C53" s="26" t="n"/>
      <c r="D53" s="26" t="n"/>
      <c r="E53" s="26" t="n"/>
      <c r="F53" s="26" t="n"/>
      <c r="G53" s="26" t="n"/>
      <c r="H53" s="26" t="n"/>
      <c r="I53" s="26" t="n"/>
      <c r="J53" s="26" t="n"/>
      <c r="K53" s="46" t="n"/>
      <c r="L53" s="46" t="n"/>
      <c r="M53" s="46" t="n"/>
      <c r="N53" s="10" t="n"/>
      <c r="O53" s="10" t="n"/>
      <c r="P53" s="10" t="n"/>
      <c r="Q53" s="10" t="n"/>
      <c r="R53" s="11" t="n"/>
      <c r="S53" s="11" t="n"/>
    </row>
    <row r="54" ht="46.5" customHeight="1">
      <c r="A54" s="26" t="n"/>
      <c r="B54" s="26" t="n"/>
      <c r="C54" s="26" t="n"/>
      <c r="D54" s="26" t="n"/>
      <c r="E54" s="26" t="n"/>
      <c r="F54" s="26" t="n"/>
      <c r="G54" s="26" t="n"/>
      <c r="H54" s="26" t="n"/>
      <c r="I54" s="26" t="n"/>
      <c r="J54" s="26" t="n"/>
      <c r="K54" s="46" t="n"/>
      <c r="L54" s="46" t="n"/>
      <c r="M54" s="46" t="n"/>
      <c r="N54" s="10" t="n"/>
      <c r="O54" s="10" t="n"/>
      <c r="P54" s="10" t="n"/>
      <c r="Q54" s="10" t="n"/>
      <c r="R54" s="11" t="n"/>
      <c r="S54" s="11" t="n"/>
    </row>
    <row r="55" ht="46.5" customHeight="1">
      <c r="A55" s="26" t="n"/>
      <c r="B55" s="26" t="n"/>
      <c r="C55" s="26" t="n"/>
      <c r="D55" s="26" t="n"/>
      <c r="E55" s="26" t="n"/>
      <c r="F55" s="26" t="n"/>
      <c r="G55" s="26" t="n"/>
      <c r="H55" s="26" t="n"/>
      <c r="I55" s="26" t="n"/>
      <c r="J55" s="26" t="n"/>
      <c r="K55" s="46" t="n"/>
      <c r="L55" s="46" t="n"/>
      <c r="M55" s="46" t="n"/>
      <c r="N55" s="10" t="n"/>
      <c r="O55" s="10" t="n"/>
      <c r="P55" s="10" t="n"/>
      <c r="Q55" s="10" t="n"/>
      <c r="R55" s="11" t="n"/>
      <c r="S55" s="11" t="n"/>
    </row>
    <row r="56" ht="46.5" customHeight="1">
      <c r="A56" s="26" t="n"/>
      <c r="B56" s="26" t="n"/>
      <c r="C56" s="26" t="n"/>
      <c r="D56" s="26" t="n"/>
      <c r="E56" s="26" t="n"/>
      <c r="F56" s="26" t="n"/>
      <c r="G56" s="26" t="n"/>
      <c r="H56" s="26" t="n"/>
      <c r="I56" s="26" t="n"/>
      <c r="J56" s="26" t="n"/>
      <c r="K56" s="46" t="n"/>
      <c r="L56" s="46" t="n"/>
      <c r="M56" s="46" t="n"/>
      <c r="N56" s="10" t="n"/>
      <c r="O56" s="10" t="n"/>
      <c r="P56" s="10" t="n"/>
      <c r="Q56" s="10" t="n"/>
      <c r="R56" s="11" t="n"/>
      <c r="S56" s="11" t="n"/>
    </row>
    <row r="57" ht="46.5" customHeight="1">
      <c r="A57" s="26" t="n"/>
      <c r="B57" s="26" t="n"/>
      <c r="C57" s="26" t="n"/>
      <c r="D57" s="26" t="n"/>
      <c r="E57" s="26" t="n"/>
      <c r="F57" s="26" t="n"/>
      <c r="G57" s="26" t="n"/>
      <c r="H57" s="26" t="n"/>
      <c r="I57" s="26" t="n"/>
      <c r="J57" s="26" t="n"/>
      <c r="K57" s="46" t="n"/>
      <c r="L57" s="46" t="n"/>
      <c r="M57" s="46" t="n"/>
      <c r="N57" s="10" t="n"/>
      <c r="O57" s="10" t="n"/>
      <c r="P57" s="10" t="n"/>
      <c r="Q57" s="10" t="n"/>
      <c r="R57" s="11" t="n"/>
      <c r="S57" s="11" t="n"/>
    </row>
    <row r="58" ht="46.5" customHeight="1">
      <c r="A58" s="26" t="n"/>
      <c r="B58" s="26" t="n"/>
      <c r="C58" s="26" t="n"/>
      <c r="D58" s="26" t="n"/>
      <c r="E58" s="26" t="n"/>
      <c r="F58" s="26" t="n"/>
      <c r="G58" s="26" t="n"/>
      <c r="H58" s="26" t="n"/>
      <c r="I58" s="26" t="n"/>
      <c r="J58" s="26" t="n"/>
      <c r="K58" s="46" t="n"/>
      <c r="L58" s="46" t="n"/>
      <c r="M58" s="46" t="n"/>
      <c r="N58" s="10" t="n"/>
      <c r="O58" s="10" t="n"/>
      <c r="P58" s="10" t="n"/>
      <c r="Q58" s="10" t="n"/>
      <c r="R58" s="11" t="n"/>
      <c r="S58" s="11" t="n"/>
    </row>
    <row r="59" ht="46.5" customHeight="1">
      <c r="A59" s="26" t="n"/>
      <c r="B59" s="26" t="n"/>
      <c r="C59" s="26" t="n"/>
      <c r="D59" s="26" t="n"/>
      <c r="E59" s="26" t="n"/>
      <c r="F59" s="26" t="n"/>
      <c r="G59" s="26" t="n"/>
      <c r="H59" s="26" t="n"/>
      <c r="I59" s="26" t="n"/>
      <c r="J59" s="26" t="n"/>
      <c r="K59" s="46" t="n"/>
      <c r="L59" s="46" t="n"/>
      <c r="M59" s="46" t="n"/>
      <c r="N59" s="10" t="n"/>
      <c r="O59" s="10" t="n"/>
      <c r="P59" s="10" t="n"/>
      <c r="Q59" s="10" t="n"/>
      <c r="R59" s="11" t="n"/>
      <c r="S59" s="11" t="n"/>
    </row>
    <row r="60" ht="46.5" customHeight="1">
      <c r="A60" s="26" t="n"/>
      <c r="B60" s="26" t="n"/>
      <c r="C60" s="26" t="n"/>
      <c r="D60" s="26" t="n"/>
      <c r="E60" s="26" t="n"/>
      <c r="F60" s="26" t="n"/>
      <c r="G60" s="26" t="n"/>
      <c r="H60" s="26" t="n"/>
      <c r="I60" s="26" t="n"/>
      <c r="J60" s="26" t="n"/>
      <c r="K60" s="46" t="n"/>
      <c r="L60" s="46" t="n"/>
      <c r="M60" s="46" t="n"/>
      <c r="N60" s="10" t="n"/>
      <c r="O60" s="10" t="n"/>
      <c r="P60" s="10" t="n"/>
      <c r="Q60" s="10" t="n"/>
      <c r="R60" s="11" t="n"/>
      <c r="S60" s="11" t="n"/>
    </row>
    <row r="61" ht="46.5" customHeight="1">
      <c r="A61" s="26" t="n"/>
      <c r="B61" s="26" t="n"/>
      <c r="C61" s="26" t="n"/>
      <c r="D61" s="26" t="n"/>
      <c r="E61" s="26" t="n"/>
      <c r="F61" s="26" t="n"/>
      <c r="G61" s="26" t="n"/>
      <c r="H61" s="26" t="n"/>
      <c r="I61" s="26" t="n"/>
      <c r="J61" s="26" t="n"/>
      <c r="K61" s="46" t="n"/>
      <c r="L61" s="46" t="n"/>
      <c r="M61" s="46" t="n"/>
      <c r="N61" s="10" t="n"/>
      <c r="O61" s="10" t="n"/>
      <c r="P61" s="10" t="n"/>
      <c r="Q61" s="10" t="n"/>
      <c r="R61" s="11" t="n"/>
      <c r="S61" s="11" t="n"/>
    </row>
    <row r="62" ht="46.5" customHeight="1">
      <c r="A62" s="26" t="n"/>
      <c r="B62" s="26" t="n"/>
      <c r="C62" s="26" t="n"/>
      <c r="D62" s="26" t="n"/>
      <c r="E62" s="26" t="n"/>
      <c r="F62" s="26" t="n"/>
      <c r="G62" s="26" t="n"/>
      <c r="H62" s="26" t="n"/>
      <c r="I62" s="26" t="n"/>
      <c r="J62" s="26" t="n"/>
      <c r="K62" s="46" t="n"/>
      <c r="L62" s="46" t="n"/>
      <c r="M62" s="46" t="n"/>
      <c r="N62" s="10" t="n"/>
      <c r="O62" s="10" t="n"/>
      <c r="P62" s="10" t="n"/>
      <c r="Q62" s="10" t="n"/>
      <c r="R62" s="11" t="n"/>
      <c r="S62" s="11" t="n"/>
    </row>
    <row r="63" ht="46.5" customHeight="1">
      <c r="A63" s="26" t="n"/>
      <c r="B63" s="26" t="n"/>
      <c r="C63" s="26" t="n"/>
      <c r="D63" s="26" t="n"/>
      <c r="E63" s="26" t="n"/>
      <c r="F63" s="26" t="n"/>
      <c r="G63" s="26" t="n"/>
      <c r="H63" s="26" t="n"/>
      <c r="I63" s="26" t="n"/>
      <c r="J63" s="26" t="n"/>
      <c r="K63" s="46" t="n"/>
      <c r="L63" s="46" t="n"/>
      <c r="M63" s="46" t="n"/>
      <c r="N63" s="10" t="n"/>
      <c r="O63" s="10" t="n"/>
      <c r="P63" s="10" t="n"/>
      <c r="Q63" s="10" t="n"/>
      <c r="R63" s="11" t="n"/>
      <c r="S63" s="11" t="n"/>
    </row>
    <row r="64" ht="46.5" customHeight="1">
      <c r="A64" s="26" t="n"/>
      <c r="B64" s="26" t="n"/>
      <c r="C64" s="26" t="n"/>
      <c r="D64" s="26" t="n"/>
      <c r="E64" s="26" t="n"/>
      <c r="F64" s="26" t="n"/>
      <c r="G64" s="26" t="n"/>
      <c r="H64" s="26" t="n"/>
      <c r="I64" s="26" t="n"/>
      <c r="J64" s="26" t="n"/>
      <c r="K64" s="46" t="n"/>
      <c r="L64" s="46" t="n"/>
      <c r="M64" s="46" t="n"/>
      <c r="N64" s="10" t="n"/>
      <c r="O64" s="10" t="n"/>
      <c r="P64" s="10" t="n"/>
      <c r="Q64" s="10" t="n"/>
      <c r="R64" s="11" t="n"/>
      <c r="S64" s="11" t="n"/>
    </row>
    <row r="65" ht="46.5" customHeight="1">
      <c r="A65" s="26" t="n"/>
      <c r="B65" s="26" t="n"/>
      <c r="C65" s="26" t="n"/>
      <c r="D65" s="26" t="n"/>
      <c r="E65" s="26" t="n"/>
      <c r="F65" s="26" t="n"/>
      <c r="G65" s="26" t="n"/>
      <c r="H65" s="26" t="n"/>
      <c r="I65" s="26" t="n"/>
      <c r="J65" s="26" t="n"/>
      <c r="K65" s="46" t="n"/>
      <c r="L65" s="46" t="n"/>
      <c r="M65" s="46" t="n"/>
      <c r="N65" s="10" t="n"/>
      <c r="O65" s="10" t="n"/>
      <c r="P65" s="10" t="n"/>
      <c r="Q65" s="10" t="n"/>
      <c r="R65" s="11" t="n"/>
      <c r="S65" s="11" t="n"/>
    </row>
    <row r="66" ht="46.5" customHeight="1">
      <c r="A66" s="26" t="n"/>
      <c r="B66" s="26" t="n"/>
      <c r="C66" s="26" t="n"/>
      <c r="D66" s="26" t="n"/>
      <c r="E66" s="26" t="n"/>
      <c r="F66" s="26" t="n"/>
      <c r="G66" s="26" t="n"/>
      <c r="H66" s="26" t="n"/>
      <c r="I66" s="26" t="n"/>
      <c r="J66" s="26" t="n"/>
      <c r="K66" s="46" t="n"/>
      <c r="L66" s="46" t="n"/>
      <c r="M66" s="46" t="n"/>
      <c r="N66" s="10" t="n"/>
      <c r="O66" s="10" t="n"/>
      <c r="P66" s="10" t="n"/>
      <c r="Q66" s="10" t="n"/>
      <c r="R66" s="11" t="n"/>
      <c r="S66" s="11" t="n"/>
    </row>
    <row r="67" ht="46.5" customHeight="1">
      <c r="A67" s="26" t="n"/>
      <c r="B67" s="26" t="n"/>
      <c r="C67" s="26" t="n"/>
      <c r="D67" s="26" t="n"/>
      <c r="E67" s="26" t="n"/>
      <c r="F67" s="26" t="n"/>
      <c r="G67" s="26" t="n"/>
      <c r="H67" s="26" t="n"/>
      <c r="I67" s="26" t="n"/>
      <c r="J67" s="26" t="n"/>
      <c r="K67" s="46" t="n"/>
      <c r="L67" s="46" t="n"/>
      <c r="M67" s="46" t="n"/>
      <c r="N67" s="10" t="n"/>
      <c r="O67" s="10" t="n"/>
      <c r="P67" s="10" t="n"/>
      <c r="Q67" s="10" t="n"/>
      <c r="R67" s="11" t="n"/>
      <c r="S67" s="11" t="n"/>
    </row>
    <row r="68" ht="46.5" customHeight="1">
      <c r="A68" s="26" t="n"/>
      <c r="B68" s="26" t="n"/>
      <c r="C68" s="26" t="n"/>
      <c r="D68" s="26" t="n"/>
      <c r="E68" s="26" t="n"/>
      <c r="F68" s="26" t="n"/>
      <c r="G68" s="26" t="n"/>
      <c r="H68" s="26" t="n"/>
      <c r="I68" s="26" t="n"/>
      <c r="J68" s="26" t="n"/>
      <c r="K68" s="46" t="n"/>
      <c r="L68" s="46" t="n"/>
      <c r="M68" s="46" t="n"/>
      <c r="N68" s="10" t="n"/>
      <c r="O68" s="10" t="n"/>
      <c r="P68" s="10" t="n"/>
      <c r="Q68" s="10" t="n"/>
      <c r="R68" s="11" t="n"/>
      <c r="S68" s="11" t="n"/>
    </row>
    <row r="69" ht="46.5" customHeight="1">
      <c r="A69" s="26" t="n"/>
      <c r="B69" s="26" t="n"/>
      <c r="C69" s="26" t="n"/>
      <c r="D69" s="26" t="n"/>
      <c r="E69" s="26" t="n"/>
      <c r="F69" s="26" t="n"/>
      <c r="G69" s="26" t="n"/>
      <c r="H69" s="26" t="n"/>
      <c r="I69" s="26" t="n"/>
      <c r="J69" s="26" t="n"/>
      <c r="K69" s="46" t="n"/>
      <c r="L69" s="46" t="n"/>
      <c r="M69" s="46" t="n"/>
      <c r="N69" s="10" t="n"/>
      <c r="O69" s="10" t="n"/>
      <c r="P69" s="10" t="n"/>
      <c r="Q69" s="10" t="n"/>
      <c r="R69" s="11" t="n"/>
      <c r="S69" s="11" t="n"/>
    </row>
    <row r="70" ht="46.5" customHeight="1">
      <c r="A70" s="26" t="n"/>
      <c r="B70" s="26" t="n"/>
      <c r="C70" s="26" t="n"/>
      <c r="D70" s="26" t="n"/>
      <c r="E70" s="26" t="n"/>
      <c r="F70" s="26" t="n"/>
      <c r="G70" s="26" t="n"/>
      <c r="H70" s="26" t="n"/>
      <c r="I70" s="26" t="n"/>
      <c r="J70" s="26" t="n"/>
      <c r="K70" s="46" t="n"/>
      <c r="L70" s="46" t="n"/>
      <c r="M70" s="46" t="n"/>
      <c r="N70" s="10" t="n"/>
      <c r="O70" s="10" t="n"/>
      <c r="P70" s="10" t="n"/>
      <c r="Q70" s="10" t="n"/>
      <c r="R70" s="11" t="n"/>
      <c r="S70" s="11" t="n"/>
    </row>
    <row r="71" ht="46.5" customHeight="1">
      <c r="A71" s="26" t="n"/>
      <c r="B71" s="26" t="n"/>
      <c r="C71" s="26" t="n"/>
      <c r="D71" s="26" t="n"/>
      <c r="E71" s="26" t="n"/>
      <c r="F71" s="26" t="n"/>
      <c r="G71" s="26" t="n"/>
      <c r="H71" s="26" t="n"/>
      <c r="I71" s="26" t="n"/>
      <c r="J71" s="26" t="n"/>
      <c r="K71" s="46" t="n"/>
      <c r="L71" s="46" t="n"/>
      <c r="M71" s="46" t="n"/>
      <c r="N71" s="10" t="n"/>
      <c r="O71" s="10" t="n"/>
      <c r="P71" s="10" t="n"/>
      <c r="Q71" s="10" t="n"/>
      <c r="R71" s="11" t="n"/>
      <c r="S71" s="11" t="n"/>
    </row>
    <row r="72" ht="46.5" customHeight="1">
      <c r="A72" s="26" t="n"/>
      <c r="B72" s="26" t="n"/>
      <c r="C72" s="26" t="n"/>
      <c r="D72" s="26" t="n"/>
      <c r="E72" s="26" t="n"/>
      <c r="F72" s="26" t="n"/>
      <c r="G72" s="26" t="n"/>
      <c r="H72" s="26" t="n"/>
      <c r="I72" s="26" t="n"/>
      <c r="J72" s="26" t="n"/>
      <c r="K72" s="46" t="n"/>
      <c r="L72" s="46" t="n"/>
      <c r="M72" s="46" t="n"/>
      <c r="N72" s="10" t="n"/>
      <c r="O72" s="10" t="n"/>
      <c r="P72" s="10" t="n"/>
      <c r="Q72" s="10" t="n"/>
      <c r="R72" s="11" t="n"/>
      <c r="S72" s="11" t="n"/>
    </row>
    <row r="73" ht="46.5" customHeight="1">
      <c r="A73" s="26" t="n"/>
      <c r="B73" s="26" t="n"/>
      <c r="C73" s="26" t="n"/>
      <c r="D73" s="26" t="n"/>
      <c r="E73" s="26" t="n"/>
      <c r="F73" s="26" t="n"/>
      <c r="G73" s="26" t="n"/>
      <c r="H73" s="26" t="n"/>
      <c r="I73" s="26" t="n"/>
      <c r="J73" s="26" t="n"/>
      <c r="K73" s="46" t="n"/>
      <c r="L73" s="46" t="n"/>
      <c r="M73" s="46" t="n"/>
      <c r="N73" s="10" t="n"/>
      <c r="O73" s="10" t="n"/>
      <c r="P73" s="10" t="n"/>
      <c r="Q73" s="10" t="n"/>
      <c r="R73" s="11" t="n"/>
      <c r="S73" s="11" t="n"/>
    </row>
    <row r="74" ht="46.5" customHeight="1">
      <c r="A74" s="26" t="n"/>
      <c r="B74" s="26" t="n"/>
      <c r="C74" s="26" t="n"/>
      <c r="D74" s="26" t="n"/>
      <c r="E74" s="26" t="n"/>
      <c r="F74" s="26" t="n"/>
      <c r="G74" s="26" t="n"/>
      <c r="H74" s="26" t="n"/>
      <c r="I74" s="26" t="n"/>
      <c r="J74" s="26" t="n"/>
      <c r="K74" s="46" t="n"/>
      <c r="L74" s="46" t="n"/>
      <c r="M74" s="46" t="n"/>
      <c r="N74" s="10" t="n"/>
      <c r="O74" s="10" t="n"/>
      <c r="P74" s="10" t="n"/>
      <c r="Q74" s="10" t="n"/>
      <c r="R74" s="11" t="n"/>
      <c r="S74" s="11" t="n"/>
    </row>
    <row r="75" ht="46.5" customHeight="1">
      <c r="A75" s="26" t="n"/>
      <c r="B75" s="26" t="n"/>
      <c r="C75" s="26" t="n"/>
      <c r="D75" s="26" t="n"/>
      <c r="E75" s="26" t="n"/>
      <c r="F75" s="26" t="n"/>
      <c r="G75" s="26" t="n"/>
      <c r="H75" s="26" t="n"/>
      <c r="I75" s="26" t="n"/>
      <c r="J75" s="26" t="n"/>
      <c r="K75" s="46" t="n"/>
      <c r="L75" s="46" t="n"/>
      <c r="M75" s="46" t="n"/>
      <c r="N75" s="10" t="n"/>
      <c r="O75" s="10" t="n"/>
      <c r="P75" s="10" t="n"/>
      <c r="Q75" s="10" t="n"/>
      <c r="R75" s="11" t="n"/>
      <c r="S75" s="11" t="n"/>
    </row>
    <row r="76" ht="46.5" customHeight="1">
      <c r="A76" s="26" t="n"/>
      <c r="B76" s="26" t="n"/>
      <c r="C76" s="26" t="n"/>
      <c r="D76" s="26" t="n"/>
      <c r="E76" s="26" t="n"/>
      <c r="F76" s="26" t="n"/>
      <c r="G76" s="26" t="n"/>
      <c r="H76" s="26" t="n"/>
      <c r="I76" s="26" t="n"/>
      <c r="J76" s="26" t="n"/>
      <c r="K76" s="46" t="n"/>
      <c r="L76" s="46" t="n"/>
      <c r="M76" s="46" t="n"/>
      <c r="N76" s="10" t="n"/>
      <c r="O76" s="10" t="n"/>
      <c r="P76" s="10" t="n"/>
      <c r="Q76" s="10" t="n"/>
      <c r="R76" s="11" t="n"/>
      <c r="S76" s="11" t="n"/>
    </row>
    <row r="77" ht="46.5" customHeight="1">
      <c r="A77" s="26" t="n"/>
      <c r="B77" s="26" t="n"/>
      <c r="C77" s="26" t="n"/>
      <c r="D77" s="26" t="n"/>
      <c r="E77" s="26" t="n"/>
      <c r="F77" s="26" t="n"/>
      <c r="G77" s="26" t="n"/>
      <c r="H77" s="26" t="n"/>
      <c r="I77" s="26" t="n"/>
      <c r="J77" s="26" t="n"/>
      <c r="K77" s="46" t="n"/>
      <c r="L77" s="46" t="n"/>
      <c r="M77" s="46" t="n"/>
      <c r="N77" s="10" t="n"/>
      <c r="O77" s="10" t="n"/>
      <c r="P77" s="10" t="n"/>
      <c r="Q77" s="10" t="n"/>
      <c r="R77" s="11" t="n"/>
      <c r="S77" s="11" t="n"/>
    </row>
    <row r="78" ht="46.5" customHeight="1">
      <c r="A78" s="26" t="n"/>
      <c r="B78" s="26" t="n"/>
      <c r="C78" s="26" t="n"/>
      <c r="D78" s="26" t="n"/>
      <c r="E78" s="26" t="n"/>
      <c r="F78" s="26" t="n"/>
      <c r="G78" s="26" t="n"/>
      <c r="H78" s="26" t="n"/>
      <c r="I78" s="26" t="n"/>
      <c r="J78" s="26" t="n"/>
      <c r="K78" s="46" t="n"/>
      <c r="L78" s="46" t="n"/>
      <c r="M78" s="46" t="n"/>
      <c r="N78" s="10" t="n"/>
      <c r="O78" s="10" t="n"/>
      <c r="P78" s="10" t="n"/>
      <c r="Q78" s="10" t="n"/>
      <c r="R78" s="11" t="n"/>
      <c r="S78" s="11" t="n"/>
    </row>
    <row r="79" ht="46.5" customHeight="1">
      <c r="A79" s="26" t="n"/>
      <c r="B79" s="26" t="n"/>
      <c r="C79" s="26" t="n"/>
      <c r="D79" s="26" t="n"/>
      <c r="E79" s="26" t="n"/>
      <c r="F79" s="26" t="n"/>
      <c r="G79" s="26" t="n"/>
      <c r="H79" s="26" t="n"/>
      <c r="I79" s="26" t="n"/>
      <c r="J79" s="26" t="n"/>
      <c r="K79" s="46" t="n"/>
      <c r="L79" s="46" t="n"/>
      <c r="M79" s="46" t="n"/>
      <c r="N79" s="10" t="n"/>
      <c r="O79" s="10" t="n"/>
      <c r="P79" s="10" t="n"/>
      <c r="Q79" s="10" t="n"/>
      <c r="R79" s="11" t="n"/>
      <c r="S79" s="11" t="n"/>
    </row>
    <row r="80" ht="46.5" customHeight="1">
      <c r="A80" s="26" t="n"/>
      <c r="B80" s="26" t="n"/>
      <c r="C80" s="26" t="n"/>
      <c r="D80" s="26" t="n"/>
      <c r="E80" s="26" t="n"/>
      <c r="F80" s="26" t="n"/>
      <c r="G80" s="26" t="n"/>
      <c r="H80" s="26" t="n"/>
      <c r="I80" s="26" t="n"/>
      <c r="J80" s="26" t="n"/>
      <c r="K80" s="46" t="n"/>
      <c r="L80" s="46" t="n"/>
      <c r="M80" s="46" t="n"/>
      <c r="N80" s="10" t="n"/>
      <c r="O80" s="10" t="n"/>
      <c r="P80" s="10" t="n"/>
      <c r="Q80" s="10" t="n"/>
      <c r="R80" s="11" t="n"/>
      <c r="S80" s="11" t="n"/>
    </row>
    <row r="81" ht="46.5" customHeight="1">
      <c r="A81" s="26" t="n"/>
      <c r="B81" s="26" t="n"/>
      <c r="C81" s="26" t="n"/>
      <c r="D81" s="26" t="n"/>
      <c r="E81" s="26" t="n"/>
      <c r="F81" s="26" t="n"/>
      <c r="G81" s="26" t="n"/>
      <c r="H81" s="26" t="n"/>
      <c r="I81" s="26" t="n"/>
      <c r="J81" s="26" t="n"/>
      <c r="K81" s="46" t="n"/>
      <c r="L81" s="46" t="n"/>
      <c r="M81" s="46" t="n"/>
      <c r="N81" s="10" t="n"/>
      <c r="O81" s="10" t="n"/>
      <c r="P81" s="10" t="n"/>
      <c r="Q81" s="10" t="n"/>
      <c r="R81" s="11" t="n"/>
      <c r="S81" s="11" t="n"/>
    </row>
    <row r="82" ht="46.5" customHeight="1">
      <c r="A82" s="26" t="n"/>
      <c r="B82" s="26" t="n"/>
      <c r="C82" s="26" t="n"/>
      <c r="D82" s="26" t="n"/>
      <c r="E82" s="26" t="n"/>
      <c r="F82" s="26" t="n"/>
      <c r="G82" s="26" t="n"/>
      <c r="H82" s="26" t="n"/>
      <c r="I82" s="26" t="n"/>
      <c r="J82" s="26" t="n"/>
      <c r="K82" s="46" t="n"/>
      <c r="L82" s="46" t="n"/>
      <c r="M82" s="46" t="n"/>
      <c r="N82" s="10" t="n"/>
      <c r="O82" s="10" t="n"/>
      <c r="P82" s="10" t="n"/>
      <c r="Q82" s="10" t="n"/>
      <c r="R82" s="11" t="n"/>
      <c r="S82" s="11" t="n"/>
    </row>
    <row r="83" ht="46.5" customHeight="1">
      <c r="A83" s="26" t="n"/>
      <c r="B83" s="26" t="n"/>
      <c r="C83" s="26" t="n"/>
      <c r="D83" s="26" t="n"/>
      <c r="E83" s="26" t="n"/>
      <c r="F83" s="26" t="n"/>
      <c r="G83" s="26" t="n"/>
      <c r="H83" s="26" t="n"/>
      <c r="I83" s="26" t="n"/>
      <c r="J83" s="26" t="n"/>
      <c r="K83" s="46" t="n"/>
      <c r="L83" s="46" t="n"/>
      <c r="M83" s="46" t="n"/>
      <c r="N83" s="10" t="n"/>
      <c r="O83" s="10" t="n"/>
      <c r="P83" s="10" t="n"/>
      <c r="Q83" s="10" t="n"/>
      <c r="R83" s="11" t="n"/>
      <c r="S83" s="11" t="n"/>
    </row>
    <row r="84" ht="46.5" customHeight="1">
      <c r="A84" s="26" t="n"/>
      <c r="B84" s="26" t="n"/>
      <c r="C84" s="26" t="n"/>
      <c r="D84" s="26" t="n"/>
      <c r="E84" s="26" t="n"/>
      <c r="F84" s="26" t="n"/>
      <c r="G84" s="26" t="n"/>
      <c r="H84" s="26" t="n"/>
      <c r="I84" s="26" t="n"/>
      <c r="J84" s="26" t="n"/>
      <c r="K84" s="46" t="n"/>
      <c r="L84" s="46" t="n"/>
      <c r="M84" s="46" t="n"/>
      <c r="N84" s="10" t="n"/>
      <c r="O84" s="10" t="n"/>
      <c r="P84" s="10" t="n"/>
      <c r="Q84" s="10" t="n"/>
      <c r="R84" s="11" t="n"/>
      <c r="S84" s="11" t="n"/>
    </row>
    <row r="85" ht="46.5" customHeight="1">
      <c r="A85" s="26" t="n"/>
      <c r="B85" s="26" t="n"/>
      <c r="C85" s="26" t="n"/>
      <c r="D85" s="26" t="n"/>
      <c r="E85" s="26" t="n"/>
      <c r="F85" s="26" t="n"/>
      <c r="G85" s="26" t="n"/>
      <c r="H85" s="26" t="n"/>
      <c r="I85" s="26" t="n"/>
      <c r="J85" s="26" t="n"/>
      <c r="K85" s="46" t="n"/>
      <c r="L85" s="46" t="n"/>
      <c r="M85" s="46" t="n"/>
      <c r="N85" s="10" t="n"/>
      <c r="O85" s="10" t="n"/>
      <c r="P85" s="10" t="n"/>
      <c r="Q85" s="10" t="n"/>
      <c r="R85" s="11" t="n"/>
      <c r="S85" s="11" t="n"/>
    </row>
    <row r="86" ht="46.5" customHeight="1">
      <c r="A86" s="26" t="n"/>
      <c r="B86" s="26" t="n"/>
      <c r="C86" s="26" t="n"/>
      <c r="D86" s="26" t="n"/>
      <c r="E86" s="26" t="n"/>
      <c r="F86" s="26" t="n"/>
      <c r="G86" s="26" t="n"/>
      <c r="H86" s="26" t="n"/>
      <c r="I86" s="26" t="n"/>
      <c r="J86" s="26" t="n"/>
      <c r="K86" s="46" t="n"/>
      <c r="L86" s="46" t="n"/>
      <c r="M86" s="46" t="n"/>
      <c r="N86" s="10" t="n"/>
      <c r="O86" s="10" t="n"/>
      <c r="P86" s="10" t="n"/>
      <c r="Q86" s="10" t="n"/>
      <c r="R86" s="11" t="n"/>
      <c r="S86" s="11" t="n"/>
    </row>
    <row r="87" ht="46.5" customHeight="1">
      <c r="A87" s="26" t="n"/>
      <c r="B87" s="26" t="n"/>
      <c r="C87" s="26" t="n"/>
      <c r="D87" s="26" t="n"/>
      <c r="E87" s="26" t="n"/>
      <c r="F87" s="26" t="n"/>
      <c r="G87" s="26" t="n"/>
      <c r="H87" s="26" t="n"/>
      <c r="I87" s="26" t="n"/>
      <c r="J87" s="26" t="n"/>
      <c r="K87" s="46" t="n"/>
      <c r="L87" s="46" t="n"/>
      <c r="M87" s="46" t="n"/>
      <c r="N87" s="10" t="n"/>
      <c r="O87" s="10" t="n"/>
      <c r="P87" s="10" t="n"/>
      <c r="Q87" s="10" t="n"/>
      <c r="R87" s="11" t="n"/>
      <c r="S87" s="11" t="n"/>
    </row>
    <row r="88" ht="46.5" customHeight="1">
      <c r="A88" s="26" t="n"/>
      <c r="B88" s="26" t="n"/>
      <c r="C88" s="26" t="n"/>
      <c r="D88" s="26" t="n"/>
      <c r="E88" s="26" t="n"/>
      <c r="F88" s="26" t="n"/>
      <c r="G88" s="26" t="n"/>
      <c r="H88" s="26" t="n"/>
      <c r="I88" s="26" t="n"/>
      <c r="J88" s="26" t="n"/>
      <c r="K88" s="46" t="n"/>
      <c r="L88" s="46" t="n"/>
      <c r="M88" s="46" t="n"/>
      <c r="N88" s="10" t="n"/>
      <c r="O88" s="10" t="n"/>
      <c r="P88" s="10" t="n"/>
      <c r="Q88" s="10" t="n"/>
      <c r="R88" s="11" t="n"/>
      <c r="S88" s="11" t="n"/>
    </row>
    <row r="89" ht="46.5" customHeight="1">
      <c r="A89" s="26" t="n"/>
      <c r="B89" s="26" t="n"/>
      <c r="C89" s="26" t="n"/>
      <c r="D89" s="26" t="n"/>
      <c r="E89" s="26" t="n"/>
      <c r="F89" s="26" t="n"/>
      <c r="G89" s="26" t="n"/>
      <c r="H89" s="26" t="n"/>
      <c r="I89" s="26" t="n"/>
      <c r="J89" s="26" t="n"/>
      <c r="K89" s="46" t="n"/>
      <c r="L89" s="46" t="n"/>
      <c r="M89" s="46" t="n"/>
      <c r="N89" s="10" t="n"/>
      <c r="O89" s="10" t="n"/>
      <c r="P89" s="10" t="n"/>
      <c r="Q89" s="10" t="n"/>
      <c r="R89" s="11" t="n"/>
      <c r="S89" s="11" t="n"/>
    </row>
    <row r="90" ht="46.5" customHeight="1">
      <c r="A90" s="26" t="n"/>
      <c r="B90" s="26" t="n"/>
      <c r="C90" s="26" t="n"/>
      <c r="D90" s="26" t="n"/>
      <c r="E90" s="26" t="n"/>
      <c r="F90" s="26" t="n"/>
      <c r="G90" s="26" t="n"/>
      <c r="H90" s="26" t="n"/>
      <c r="I90" s="26" t="n"/>
      <c r="J90" s="26" t="n"/>
      <c r="K90" s="46" t="n"/>
      <c r="L90" s="46" t="n"/>
      <c r="M90" s="46" t="n"/>
      <c r="N90" s="10" t="n"/>
      <c r="O90" s="10" t="n"/>
      <c r="P90" s="10" t="n"/>
      <c r="Q90" s="10" t="n"/>
      <c r="R90" s="11" t="n"/>
      <c r="S90" s="11" t="n"/>
    </row>
    <row r="91" ht="46.5" customHeight="1">
      <c r="A91" s="26" t="n"/>
      <c r="B91" s="26" t="n"/>
      <c r="C91" s="26" t="n"/>
      <c r="D91" s="26" t="n"/>
      <c r="E91" s="26" t="n"/>
      <c r="F91" s="26" t="n"/>
      <c r="G91" s="26" t="n"/>
      <c r="H91" s="26" t="n"/>
      <c r="I91" s="26" t="n"/>
      <c r="J91" s="26" t="n"/>
      <c r="K91" s="46" t="n"/>
      <c r="L91" s="46" t="n"/>
      <c r="M91" s="46" t="n"/>
      <c r="N91" s="10" t="n"/>
      <c r="O91" s="10" t="n"/>
      <c r="P91" s="10" t="n"/>
      <c r="Q91" s="10" t="n"/>
      <c r="R91" s="11" t="n"/>
      <c r="S91" s="11" t="n"/>
    </row>
    <row r="92" ht="46.5" customHeight="1">
      <c r="A92" s="26" t="n"/>
      <c r="B92" s="26" t="n"/>
      <c r="C92" s="26" t="n"/>
      <c r="D92" s="26" t="n"/>
      <c r="E92" s="26" t="n"/>
      <c r="F92" s="26" t="n"/>
      <c r="G92" s="26" t="n"/>
      <c r="H92" s="26" t="n"/>
      <c r="I92" s="26" t="n"/>
      <c r="J92" s="26" t="n"/>
      <c r="K92" s="46" t="n"/>
      <c r="L92" s="46" t="n"/>
      <c r="M92" s="46" t="n"/>
      <c r="N92" s="10" t="n"/>
      <c r="O92" s="10" t="n"/>
      <c r="P92" s="10" t="n"/>
      <c r="Q92" s="10" t="n"/>
      <c r="R92" s="11" t="n"/>
      <c r="S92" s="11" t="n"/>
    </row>
    <row r="93" ht="46.5" customHeight="1">
      <c r="A93" s="26" t="n"/>
      <c r="B93" s="26" t="n"/>
      <c r="C93" s="26" t="n"/>
      <c r="D93" s="26" t="n"/>
      <c r="E93" s="26" t="n"/>
      <c r="F93" s="26" t="n"/>
      <c r="G93" s="26" t="n"/>
      <c r="H93" s="26" t="n"/>
      <c r="I93" s="26" t="n"/>
      <c r="J93" s="26" t="n"/>
      <c r="K93" s="46" t="n"/>
      <c r="L93" s="46" t="n"/>
      <c r="M93" s="46" t="n"/>
      <c r="N93" s="10" t="n"/>
      <c r="O93" s="10" t="n"/>
      <c r="P93" s="10" t="n"/>
      <c r="Q93" s="10" t="n"/>
      <c r="R93" s="11" t="n"/>
      <c r="S93" s="11" t="n"/>
    </row>
    <row r="94" ht="46.5" customHeight="1">
      <c r="A94" s="26" t="n"/>
      <c r="B94" s="26" t="n"/>
      <c r="C94" s="26" t="n"/>
      <c r="D94" s="26" t="n"/>
      <c r="E94" s="26" t="n"/>
      <c r="F94" s="26" t="n"/>
      <c r="G94" s="26" t="n"/>
      <c r="H94" s="26" t="n"/>
      <c r="I94" s="26" t="n"/>
      <c r="J94" s="26" t="n"/>
      <c r="K94" s="46" t="n"/>
      <c r="L94" s="46" t="n"/>
      <c r="M94" s="46" t="n"/>
      <c r="N94" s="10" t="n"/>
      <c r="O94" s="10" t="n"/>
      <c r="P94" s="10" t="n"/>
      <c r="Q94" s="10" t="n"/>
      <c r="R94" s="11" t="n"/>
      <c r="S94" s="11" t="n"/>
    </row>
    <row r="95" ht="46.5" customHeight="1">
      <c r="A95" s="26" t="n"/>
      <c r="B95" s="26" t="n"/>
      <c r="C95" s="26" t="n"/>
      <c r="D95" s="26" t="n"/>
      <c r="E95" s="26" t="n"/>
      <c r="F95" s="26" t="n"/>
      <c r="G95" s="26" t="n"/>
      <c r="H95" s="26" t="n"/>
      <c r="I95" s="26" t="n"/>
      <c r="J95" s="26" t="n"/>
      <c r="K95" s="46" t="n"/>
      <c r="L95" s="46" t="n"/>
      <c r="M95" s="46" t="n"/>
      <c r="N95" s="10" t="n"/>
      <c r="O95" s="10" t="n"/>
      <c r="P95" s="10" t="n"/>
      <c r="Q95" s="10" t="n"/>
      <c r="R95" s="11" t="n"/>
      <c r="S95" s="11" t="n"/>
    </row>
    <row r="96" ht="46.5" customHeight="1">
      <c r="A96" s="26" t="n"/>
      <c r="B96" s="26" t="n"/>
      <c r="C96" s="26" t="n"/>
      <c r="D96" s="26" t="n"/>
      <c r="E96" s="26" t="n"/>
      <c r="F96" s="26" t="n"/>
      <c r="G96" s="26" t="n"/>
      <c r="H96" s="26" t="n"/>
      <c r="I96" s="26" t="n"/>
      <c r="J96" s="26" t="n"/>
      <c r="K96" s="46" t="n"/>
      <c r="L96" s="46" t="n"/>
      <c r="M96" s="46" t="n"/>
      <c r="N96" s="10" t="n"/>
      <c r="O96" s="10" t="n"/>
      <c r="P96" s="10" t="n"/>
      <c r="Q96" s="10" t="n"/>
      <c r="R96" s="11" t="n"/>
      <c r="S96" s="11" t="n"/>
    </row>
    <row r="97" ht="46.5" customHeight="1">
      <c r="A97" s="26" t="n"/>
      <c r="B97" s="26" t="n"/>
      <c r="C97" s="26" t="n"/>
      <c r="D97" s="26" t="n"/>
      <c r="E97" s="26" t="n"/>
      <c r="F97" s="26" t="n"/>
      <c r="G97" s="26" t="n"/>
      <c r="H97" s="26" t="n"/>
      <c r="I97" s="26" t="n"/>
      <c r="J97" s="26" t="n"/>
      <c r="K97" s="46" t="n"/>
      <c r="L97" s="46" t="n"/>
      <c r="M97" s="46" t="n"/>
      <c r="N97" s="10" t="n"/>
      <c r="O97" s="10" t="n"/>
      <c r="P97" s="10" t="n"/>
      <c r="Q97" s="10" t="n"/>
      <c r="R97" s="11" t="n"/>
      <c r="S97" s="11" t="n"/>
    </row>
    <row r="98" ht="46.5" customHeight="1">
      <c r="A98" s="26" t="n"/>
      <c r="B98" s="26" t="n"/>
      <c r="C98" s="26" t="n"/>
      <c r="D98" s="26" t="n"/>
      <c r="E98" s="26" t="n"/>
      <c r="F98" s="26" t="n"/>
      <c r="G98" s="26" t="n"/>
      <c r="H98" s="26" t="n"/>
      <c r="I98" s="26" t="n"/>
      <c r="J98" s="26" t="n"/>
      <c r="K98" s="46" t="n"/>
      <c r="L98" s="46" t="n"/>
      <c r="M98" s="46" t="n"/>
      <c r="N98" s="10" t="n"/>
      <c r="O98" s="10" t="n"/>
      <c r="P98" s="10" t="n"/>
      <c r="Q98" s="10" t="n"/>
      <c r="R98" s="11" t="n"/>
      <c r="S98" s="11" t="n"/>
    </row>
    <row r="99" ht="46.5" customHeight="1">
      <c r="A99" s="26" t="n"/>
      <c r="B99" s="26" t="n"/>
      <c r="C99" s="26" t="n"/>
      <c r="D99" s="26" t="n"/>
      <c r="E99" s="26" t="n"/>
      <c r="F99" s="26" t="n"/>
      <c r="G99" s="26" t="n"/>
      <c r="H99" s="26" t="n"/>
      <c r="I99" s="26" t="n"/>
      <c r="J99" s="26" t="n"/>
      <c r="K99" s="46" t="n"/>
      <c r="L99" s="46" t="n"/>
      <c r="M99" s="46" t="n"/>
      <c r="N99" s="10" t="n"/>
      <c r="O99" s="10" t="n"/>
      <c r="P99" s="10" t="n"/>
      <c r="Q99" s="10" t="n"/>
      <c r="R99" s="11" t="n"/>
      <c r="S99" s="11" t="n"/>
    </row>
    <row r="100" ht="46.5" customHeight="1">
      <c r="A100" s="26" t="n"/>
      <c r="B100" s="26" t="n"/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46" t="n"/>
      <c r="L100" s="46" t="n"/>
      <c r="M100" s="46" t="n"/>
      <c r="N100" s="10" t="n"/>
      <c r="O100" s="10" t="n"/>
      <c r="P100" s="10" t="n"/>
      <c r="Q100" s="10" t="n"/>
      <c r="R100" s="11" t="n"/>
      <c r="S100" s="11" t="n"/>
    </row>
    <row r="101" ht="46.5" customHeight="1">
      <c r="A101" s="26" t="n"/>
      <c r="B101" s="26" t="n"/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46" t="n"/>
      <c r="L101" s="46" t="n"/>
      <c r="M101" s="46" t="n"/>
      <c r="N101" s="10" t="n"/>
      <c r="O101" s="10" t="n"/>
      <c r="P101" s="10" t="n"/>
      <c r="Q101" s="10" t="n"/>
      <c r="R101" s="11" t="n"/>
      <c r="S101" s="11" t="n"/>
    </row>
    <row r="102" ht="46.5" customHeight="1">
      <c r="A102" s="26" t="n"/>
      <c r="B102" s="26" t="n"/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46" t="n"/>
      <c r="L102" s="46" t="n"/>
      <c r="M102" s="46" t="n"/>
      <c r="N102" s="10" t="n"/>
      <c r="O102" s="10" t="n"/>
      <c r="P102" s="10" t="n"/>
      <c r="Q102" s="10" t="n"/>
      <c r="R102" s="11" t="n"/>
      <c r="S102" s="11" t="n"/>
    </row>
    <row r="103" ht="46.5" customHeight="1">
      <c r="A103" s="26" t="n"/>
      <c r="B103" s="26" t="n"/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46" t="n"/>
      <c r="L103" s="46" t="n"/>
      <c r="M103" s="46" t="n"/>
      <c r="N103" s="10" t="n"/>
      <c r="O103" s="10" t="n"/>
      <c r="P103" s="10" t="n"/>
      <c r="Q103" s="10" t="n"/>
      <c r="R103" s="11" t="n"/>
      <c r="S103" s="11" t="n"/>
    </row>
    <row r="104" ht="46.5" customHeight="1">
      <c r="A104" s="26" t="n"/>
      <c r="B104" s="26" t="n"/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46" t="n"/>
      <c r="L104" s="46" t="n"/>
      <c r="M104" s="46" t="n"/>
      <c r="N104" s="10" t="n"/>
      <c r="O104" s="10" t="n"/>
      <c r="P104" s="10" t="n"/>
      <c r="Q104" s="10" t="n"/>
      <c r="R104" s="11" t="n"/>
      <c r="S104" s="11" t="n"/>
    </row>
    <row r="105" ht="46.5" customHeight="1">
      <c r="A105" s="26" t="n"/>
      <c r="B105" s="26" t="n"/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46" t="n"/>
      <c r="L105" s="46" t="n"/>
      <c r="M105" s="46" t="n"/>
      <c r="N105" s="10" t="n"/>
      <c r="O105" s="10" t="n"/>
      <c r="P105" s="10" t="n"/>
      <c r="Q105" s="10" t="n"/>
      <c r="R105" s="11" t="n"/>
      <c r="S105" s="11" t="n"/>
    </row>
    <row r="106" ht="46.5" customHeight="1">
      <c r="A106" s="26" t="n"/>
      <c r="B106" s="26" t="n"/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46" t="n"/>
      <c r="L106" s="46" t="n"/>
      <c r="M106" s="46" t="n"/>
      <c r="N106" s="10" t="n"/>
      <c r="O106" s="10" t="n"/>
      <c r="P106" s="10" t="n"/>
      <c r="Q106" s="10" t="n"/>
      <c r="R106" s="11" t="n"/>
      <c r="S106" s="11" t="n"/>
    </row>
    <row r="107" ht="46.5" customHeight="1">
      <c r="A107" s="26" t="n"/>
      <c r="B107" s="26" t="n"/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46" t="n"/>
      <c r="L107" s="46" t="n"/>
      <c r="M107" s="46" t="n"/>
      <c r="N107" s="10" t="n"/>
      <c r="O107" s="10" t="n"/>
      <c r="P107" s="10" t="n"/>
      <c r="Q107" s="10" t="n"/>
      <c r="R107" s="11" t="n"/>
      <c r="S107" s="11" t="n"/>
    </row>
    <row r="108" ht="46.5" customHeight="1">
      <c r="A108" s="26" t="n"/>
      <c r="B108" s="26" t="n"/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46" t="n"/>
      <c r="L108" s="46" t="n"/>
      <c r="M108" s="46" t="n"/>
      <c r="N108" s="10" t="n"/>
      <c r="O108" s="10" t="n"/>
      <c r="P108" s="10" t="n"/>
      <c r="Q108" s="10" t="n"/>
      <c r="R108" s="11" t="n"/>
      <c r="S108" s="11" t="n"/>
    </row>
    <row r="109" ht="46.5" customHeight="1">
      <c r="A109" s="26" t="n"/>
      <c r="B109" s="26" t="n"/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46" t="n"/>
      <c r="L109" s="46" t="n"/>
      <c r="M109" s="46" t="n"/>
      <c r="N109" s="10" t="n"/>
      <c r="O109" s="10" t="n"/>
      <c r="P109" s="10" t="n"/>
      <c r="Q109" s="10" t="n"/>
      <c r="R109" s="11" t="n"/>
      <c r="S109" s="11" t="n"/>
    </row>
    <row r="110" ht="46.5" customHeight="1">
      <c r="A110" s="26" t="n"/>
      <c r="B110" s="26" t="n"/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46" t="n"/>
      <c r="L110" s="46" t="n"/>
      <c r="M110" s="46" t="n"/>
      <c r="N110" s="10" t="n"/>
      <c r="O110" s="10" t="n"/>
      <c r="P110" s="10" t="n"/>
      <c r="Q110" s="10" t="n"/>
      <c r="R110" s="11" t="n"/>
      <c r="S110" s="11" t="n"/>
    </row>
    <row r="111" ht="46.5" customHeight="1">
      <c r="A111" s="26" t="n"/>
      <c r="B111" s="26" t="n"/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46" t="n"/>
      <c r="L111" s="46" t="n"/>
      <c r="M111" s="46" t="n"/>
      <c r="N111" s="10" t="n"/>
      <c r="O111" s="10" t="n"/>
      <c r="P111" s="10" t="n"/>
      <c r="Q111" s="10" t="n"/>
      <c r="R111" s="11" t="n"/>
      <c r="S111" s="11" t="n"/>
    </row>
    <row r="112" ht="46.5" customHeight="1">
      <c r="A112" s="26" t="n"/>
      <c r="B112" s="26" t="n"/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46" t="n"/>
      <c r="L112" s="46" t="n"/>
      <c r="M112" s="46" t="n"/>
      <c r="N112" s="10" t="n"/>
      <c r="O112" s="10" t="n"/>
      <c r="P112" s="10" t="n"/>
      <c r="Q112" s="10" t="n"/>
      <c r="R112" s="11" t="n"/>
      <c r="S112" s="11" t="n"/>
    </row>
    <row r="113" ht="46.5" customHeight="1">
      <c r="A113" s="26" t="n"/>
      <c r="B113" s="26" t="n"/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46" t="n"/>
      <c r="L113" s="46" t="n"/>
      <c r="M113" s="46" t="n"/>
      <c r="N113" s="10" t="n"/>
      <c r="O113" s="10" t="n"/>
      <c r="P113" s="10" t="n"/>
      <c r="Q113" s="10" t="n"/>
      <c r="R113" s="11" t="n"/>
      <c r="S113" s="11" t="n"/>
    </row>
    <row r="114" ht="46.5" customHeight="1">
      <c r="A114" s="26" t="n"/>
      <c r="B114" s="26" t="n"/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46" t="n"/>
      <c r="L114" s="46" t="n"/>
      <c r="M114" s="46" t="n"/>
      <c r="N114" s="10" t="n"/>
      <c r="O114" s="10" t="n"/>
      <c r="P114" s="10" t="n"/>
      <c r="Q114" s="10" t="n"/>
      <c r="R114" s="11" t="n"/>
      <c r="S114" s="11" t="n"/>
    </row>
    <row r="115" ht="46.5" customHeight="1">
      <c r="A115" s="26" t="n"/>
      <c r="B115" s="26" t="n"/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46" t="n"/>
      <c r="L115" s="46" t="n"/>
      <c r="M115" s="46" t="n"/>
      <c r="N115" s="10" t="n"/>
      <c r="O115" s="10" t="n"/>
      <c r="P115" s="10" t="n"/>
      <c r="Q115" s="10" t="n"/>
      <c r="R115" s="11" t="n"/>
      <c r="S115" s="11" t="n"/>
    </row>
    <row r="116" ht="46.5" customHeight="1">
      <c r="A116" s="26" t="n"/>
      <c r="B116" s="26" t="n"/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46" t="n"/>
      <c r="L116" s="46" t="n"/>
      <c r="M116" s="46" t="n"/>
      <c r="N116" s="10" t="n"/>
      <c r="O116" s="10" t="n"/>
      <c r="P116" s="10" t="n"/>
      <c r="Q116" s="10" t="n"/>
      <c r="R116" s="11" t="n"/>
      <c r="S116" s="11" t="n"/>
    </row>
    <row r="117" ht="46.5" customHeight="1">
      <c r="A117" s="26" t="n"/>
      <c r="B117" s="26" t="n"/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46" t="n"/>
      <c r="L117" s="46" t="n"/>
      <c r="M117" s="46" t="n"/>
      <c r="N117" s="10" t="n"/>
      <c r="O117" s="10" t="n"/>
      <c r="P117" s="10" t="n"/>
      <c r="Q117" s="10" t="n"/>
      <c r="R117" s="11" t="n"/>
      <c r="S117" s="11" t="n"/>
    </row>
    <row r="118" ht="46.5" customHeight="1">
      <c r="A118" s="26" t="n"/>
      <c r="B118" s="26" t="n"/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46" t="n"/>
      <c r="L118" s="46" t="n"/>
      <c r="M118" s="46" t="n"/>
      <c r="N118" s="10" t="n"/>
      <c r="O118" s="10" t="n"/>
      <c r="P118" s="10" t="n"/>
      <c r="Q118" s="10" t="n"/>
      <c r="R118" s="11" t="n"/>
      <c r="S118" s="11" t="n"/>
    </row>
    <row r="119" ht="46.5" customHeight="1">
      <c r="A119" s="26" t="n"/>
      <c r="B119" s="26" t="n"/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46" t="n"/>
      <c r="L119" s="46" t="n"/>
      <c r="M119" s="46" t="n"/>
      <c r="N119" s="10" t="n"/>
      <c r="O119" s="10" t="n"/>
      <c r="P119" s="10" t="n"/>
      <c r="Q119" s="10" t="n"/>
      <c r="R119" s="11" t="n"/>
      <c r="S119" s="11" t="n"/>
    </row>
    <row r="120" ht="46.5" customHeight="1">
      <c r="A120" s="26" t="n"/>
      <c r="B120" s="26" t="n"/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46" t="n"/>
      <c r="L120" s="46" t="n"/>
      <c r="M120" s="46" t="n"/>
      <c r="N120" s="10" t="n"/>
      <c r="O120" s="10" t="n"/>
      <c r="P120" s="10" t="n"/>
      <c r="Q120" s="10" t="n"/>
      <c r="R120" s="11" t="n"/>
      <c r="S120" s="11" t="n"/>
    </row>
    <row r="121" ht="46.5" customHeight="1">
      <c r="A121" s="26" t="n"/>
      <c r="B121" s="26" t="n"/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46" t="n"/>
      <c r="L121" s="46" t="n"/>
      <c r="M121" s="46" t="n"/>
      <c r="N121" s="10" t="n"/>
      <c r="O121" s="10" t="n"/>
      <c r="P121" s="10" t="n"/>
      <c r="Q121" s="10" t="n"/>
      <c r="R121" s="11" t="n"/>
      <c r="S121" s="11" t="n"/>
    </row>
    <row r="122" ht="46.5" customHeight="1">
      <c r="A122" s="26" t="n"/>
      <c r="B122" s="26" t="n"/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46" t="n"/>
      <c r="L122" s="46" t="n"/>
      <c r="M122" s="46" t="n"/>
      <c r="N122" s="10" t="n"/>
      <c r="O122" s="10" t="n"/>
      <c r="P122" s="10" t="n"/>
      <c r="Q122" s="10" t="n"/>
      <c r="R122" s="11" t="n"/>
      <c r="S122" s="11" t="n"/>
    </row>
    <row r="123" ht="46.5" customHeight="1">
      <c r="A123" s="26" t="n"/>
      <c r="B123" s="26" t="n"/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46" t="n"/>
      <c r="L123" s="46" t="n"/>
      <c r="M123" s="46" t="n"/>
      <c r="N123" s="10" t="n"/>
      <c r="O123" s="10" t="n"/>
      <c r="P123" s="10" t="n"/>
      <c r="Q123" s="10" t="n"/>
      <c r="R123" s="11" t="n"/>
      <c r="S123" s="11" t="n"/>
    </row>
    <row r="124" ht="46.5" customHeight="1">
      <c r="A124" s="26" t="n"/>
      <c r="B124" s="26" t="n"/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46" t="n"/>
      <c r="L124" s="46" t="n"/>
      <c r="M124" s="46" t="n"/>
      <c r="N124" s="10" t="n"/>
      <c r="O124" s="10" t="n"/>
      <c r="P124" s="10" t="n"/>
      <c r="Q124" s="10" t="n"/>
      <c r="R124" s="11" t="n"/>
      <c r="S124" s="11" t="n"/>
    </row>
    <row r="125" ht="46.5" customHeight="1">
      <c r="A125" s="26" t="n"/>
      <c r="B125" s="26" t="n"/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46" t="n"/>
      <c r="L125" s="46" t="n"/>
      <c r="M125" s="46" t="n"/>
      <c r="N125" s="10" t="n"/>
      <c r="O125" s="10" t="n"/>
      <c r="P125" s="10" t="n"/>
      <c r="Q125" s="10" t="n"/>
      <c r="R125" s="11" t="n"/>
      <c r="S125" s="11" t="n"/>
    </row>
    <row r="126" ht="46.5" customHeight="1">
      <c r="A126" s="26" t="n"/>
      <c r="B126" s="26" t="n"/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46" t="n"/>
      <c r="L126" s="46" t="n"/>
      <c r="M126" s="46" t="n"/>
      <c r="N126" s="10" t="n"/>
      <c r="O126" s="10" t="n"/>
      <c r="P126" s="10" t="n"/>
      <c r="Q126" s="10" t="n"/>
      <c r="R126" s="11" t="n"/>
      <c r="S126" s="11" t="n"/>
    </row>
    <row r="127" ht="46.5" customHeight="1">
      <c r="A127" s="26" t="n"/>
      <c r="B127" s="26" t="n"/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46" t="n"/>
      <c r="L127" s="46" t="n"/>
      <c r="M127" s="46" t="n"/>
      <c r="N127" s="10" t="n"/>
      <c r="O127" s="10" t="n"/>
      <c r="P127" s="10" t="n"/>
      <c r="Q127" s="10" t="n"/>
      <c r="R127" s="11" t="n"/>
      <c r="S127" s="11" t="n"/>
    </row>
    <row r="128" ht="46.5" customHeight="1">
      <c r="A128" s="26" t="n"/>
      <c r="B128" s="26" t="n"/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46" t="n"/>
      <c r="L128" s="46" t="n"/>
      <c r="M128" s="46" t="n"/>
      <c r="N128" s="10" t="n"/>
      <c r="O128" s="10" t="n"/>
      <c r="P128" s="10" t="n"/>
      <c r="Q128" s="10" t="n"/>
      <c r="R128" s="11" t="n"/>
      <c r="S128" s="11" t="n"/>
    </row>
    <row r="129" ht="46.5" customHeight="1">
      <c r="A129" s="26" t="n"/>
      <c r="B129" s="26" t="n"/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46" t="n"/>
      <c r="L129" s="46" t="n"/>
      <c r="M129" s="46" t="n"/>
      <c r="N129" s="10" t="n"/>
      <c r="O129" s="10" t="n"/>
      <c r="P129" s="10" t="n"/>
      <c r="Q129" s="10" t="n"/>
      <c r="R129" s="11" t="n"/>
      <c r="S129" s="11" t="n"/>
    </row>
    <row r="130" ht="46.5" customHeight="1">
      <c r="A130" s="26" t="n"/>
      <c r="B130" s="26" t="n"/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46" t="n"/>
      <c r="L130" s="46" t="n"/>
      <c r="M130" s="46" t="n"/>
      <c r="N130" s="10" t="n"/>
      <c r="O130" s="10" t="n"/>
      <c r="P130" s="10" t="n"/>
      <c r="Q130" s="10" t="n"/>
      <c r="R130" s="11" t="n"/>
      <c r="S130" s="11" t="n"/>
    </row>
    <row r="131" ht="46.5" customHeight="1">
      <c r="A131" s="26" t="n"/>
      <c r="B131" s="26" t="n"/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46" t="n"/>
      <c r="L131" s="46" t="n"/>
      <c r="M131" s="46" t="n"/>
      <c r="N131" s="10" t="n"/>
      <c r="O131" s="10" t="n"/>
      <c r="P131" s="10" t="n"/>
      <c r="Q131" s="10" t="n"/>
      <c r="R131" s="11" t="n"/>
      <c r="S131" s="11" t="n"/>
    </row>
    <row r="132" ht="46.5" customHeight="1">
      <c r="A132" s="26" t="n"/>
      <c r="B132" s="26" t="n"/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46" t="n"/>
      <c r="L132" s="46" t="n"/>
      <c r="M132" s="46" t="n"/>
      <c r="N132" s="10" t="n"/>
      <c r="O132" s="10" t="n"/>
      <c r="P132" s="10" t="n"/>
      <c r="Q132" s="10" t="n"/>
      <c r="R132" s="11" t="n"/>
      <c r="S132" s="11" t="n"/>
    </row>
    <row r="133" ht="46.5" customHeight="1">
      <c r="A133" s="26" t="n"/>
      <c r="B133" s="26" t="n"/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46" t="n"/>
      <c r="L133" s="46" t="n"/>
      <c r="M133" s="46" t="n"/>
      <c r="N133" s="10" t="n"/>
      <c r="O133" s="10" t="n"/>
      <c r="P133" s="10" t="n"/>
      <c r="Q133" s="10" t="n"/>
      <c r="R133" s="11" t="n"/>
      <c r="S133" s="11" t="n"/>
    </row>
    <row r="134" ht="46.5" customHeight="1">
      <c r="A134" s="26" t="n"/>
      <c r="B134" s="26" t="n"/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46" t="n"/>
      <c r="L134" s="46" t="n"/>
      <c r="M134" s="46" t="n"/>
      <c r="N134" s="10" t="n"/>
      <c r="O134" s="10" t="n"/>
      <c r="P134" s="10" t="n"/>
      <c r="Q134" s="10" t="n"/>
      <c r="R134" s="11" t="n"/>
      <c r="S134" s="11" t="n"/>
    </row>
    <row r="135" ht="46.5" customHeight="1">
      <c r="A135" s="26" t="n"/>
      <c r="B135" s="26" t="n"/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46" t="n"/>
      <c r="L135" s="46" t="n"/>
      <c r="M135" s="46" t="n"/>
      <c r="N135" s="10" t="n"/>
      <c r="O135" s="10" t="n"/>
      <c r="P135" s="10" t="n"/>
      <c r="Q135" s="10" t="n"/>
      <c r="R135" s="11" t="n"/>
      <c r="S135" s="11" t="n"/>
    </row>
    <row r="136" ht="46.5" customHeight="1">
      <c r="A136" s="26" t="n"/>
      <c r="B136" s="26" t="n"/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46" t="n"/>
      <c r="L136" s="46" t="n"/>
      <c r="M136" s="46" t="n"/>
      <c r="N136" s="10" t="n"/>
      <c r="O136" s="10" t="n"/>
      <c r="P136" s="10" t="n"/>
      <c r="Q136" s="10" t="n"/>
      <c r="R136" s="11" t="n"/>
      <c r="S136" s="11" t="n"/>
    </row>
    <row r="137" ht="46.5" customHeight="1">
      <c r="A137" s="26" t="n"/>
      <c r="B137" s="26" t="n"/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46" t="n"/>
      <c r="L137" s="46" t="n"/>
      <c r="M137" s="46" t="n"/>
      <c r="N137" s="10" t="n"/>
      <c r="O137" s="10" t="n"/>
      <c r="P137" s="10" t="n"/>
      <c r="Q137" s="10" t="n"/>
      <c r="R137" s="11" t="n"/>
      <c r="S137" s="11" t="n"/>
    </row>
    <row r="138" ht="46.5" customHeight="1">
      <c r="A138" s="26" t="n"/>
      <c r="B138" s="26" t="n"/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46" t="n"/>
      <c r="L138" s="46" t="n"/>
      <c r="M138" s="46" t="n"/>
      <c r="N138" s="10" t="n"/>
      <c r="O138" s="10" t="n"/>
      <c r="P138" s="10" t="n"/>
      <c r="Q138" s="10" t="n"/>
      <c r="R138" s="11" t="n"/>
      <c r="S138" s="11" t="n"/>
    </row>
    <row r="139" ht="46.5" customHeight="1">
      <c r="A139" s="26" t="n"/>
      <c r="B139" s="26" t="n"/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46" t="n"/>
      <c r="L139" s="46" t="n"/>
      <c r="M139" s="46" t="n"/>
      <c r="N139" s="10" t="n"/>
      <c r="O139" s="10" t="n"/>
      <c r="P139" s="10" t="n"/>
      <c r="Q139" s="10" t="n"/>
      <c r="R139" s="11" t="n"/>
      <c r="S139" s="11" t="n"/>
    </row>
    <row r="140" ht="46.5" customHeight="1">
      <c r="A140" s="26" t="n"/>
      <c r="B140" s="26" t="n"/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46" t="n"/>
      <c r="L140" s="46" t="n"/>
      <c r="M140" s="46" t="n"/>
      <c r="N140" s="10" t="n"/>
      <c r="O140" s="10" t="n"/>
      <c r="P140" s="10" t="n"/>
      <c r="Q140" s="10" t="n"/>
      <c r="R140" s="11" t="n"/>
      <c r="S140" s="11" t="n"/>
    </row>
    <row r="141" ht="46.5" customHeight="1">
      <c r="A141" s="26" t="n"/>
      <c r="B141" s="26" t="n"/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46" t="n"/>
      <c r="L141" s="46" t="n"/>
      <c r="M141" s="46" t="n"/>
      <c r="N141" s="10" t="n"/>
      <c r="O141" s="10" t="n"/>
      <c r="P141" s="10" t="n"/>
      <c r="Q141" s="10" t="n"/>
      <c r="R141" s="11" t="n"/>
      <c r="S141" s="11" t="n"/>
    </row>
    <row r="142" ht="46.5" customHeight="1">
      <c r="A142" s="26" t="n"/>
      <c r="B142" s="26" t="n"/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46" t="n"/>
      <c r="L142" s="46" t="n"/>
      <c r="M142" s="46" t="n"/>
      <c r="N142" s="10" t="n"/>
      <c r="O142" s="10" t="n"/>
      <c r="P142" s="10" t="n"/>
      <c r="Q142" s="10" t="n"/>
      <c r="R142" s="11" t="n"/>
      <c r="S142" s="11" t="n"/>
    </row>
    <row r="143" ht="46.5" customHeight="1">
      <c r="A143" s="26" t="n"/>
      <c r="B143" s="26" t="n"/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46" t="n"/>
      <c r="L143" s="46" t="n"/>
      <c r="M143" s="46" t="n"/>
      <c r="N143" s="10" t="n"/>
      <c r="O143" s="10" t="n"/>
      <c r="P143" s="10" t="n"/>
      <c r="Q143" s="10" t="n"/>
      <c r="R143" s="11" t="n"/>
      <c r="S143" s="11" t="n"/>
    </row>
    <row r="144" ht="46.5" customHeight="1">
      <c r="A144" s="26" t="n"/>
      <c r="B144" s="26" t="n"/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46" t="n"/>
      <c r="L144" s="46" t="n"/>
      <c r="M144" s="46" t="n"/>
      <c r="N144" s="10" t="n"/>
      <c r="O144" s="10" t="n"/>
      <c r="P144" s="10" t="n"/>
      <c r="Q144" s="10" t="n"/>
      <c r="R144" s="11" t="n"/>
      <c r="S144" s="11" t="n"/>
    </row>
    <row r="145" ht="46.5" customHeight="1">
      <c r="A145" s="26" t="n"/>
      <c r="B145" s="26" t="n"/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46" t="n"/>
      <c r="L145" s="46" t="n"/>
      <c r="M145" s="46" t="n"/>
      <c r="N145" s="10" t="n"/>
      <c r="O145" s="10" t="n"/>
      <c r="P145" s="10" t="n"/>
      <c r="Q145" s="10" t="n"/>
      <c r="R145" s="11" t="n"/>
      <c r="S145" s="11" t="n"/>
    </row>
    <row r="146" ht="46.5" customHeight="1">
      <c r="A146" s="26" t="n"/>
      <c r="B146" s="26" t="n"/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46" t="n"/>
      <c r="L146" s="46" t="n"/>
      <c r="M146" s="46" t="n"/>
      <c r="N146" s="10" t="n"/>
      <c r="O146" s="10" t="n"/>
      <c r="P146" s="10" t="n"/>
      <c r="Q146" s="10" t="n"/>
      <c r="R146" s="11" t="n"/>
      <c r="S146" s="11" t="n"/>
    </row>
    <row r="147" ht="46.5" customHeight="1">
      <c r="A147" s="26" t="n"/>
      <c r="B147" s="26" t="n"/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46" t="n"/>
      <c r="L147" s="46" t="n"/>
      <c r="M147" s="46" t="n"/>
      <c r="N147" s="10" t="n"/>
      <c r="O147" s="10" t="n"/>
      <c r="P147" s="10" t="n"/>
      <c r="Q147" s="10" t="n"/>
      <c r="R147" s="11" t="n"/>
      <c r="S147" s="11" t="n"/>
    </row>
    <row r="148" ht="46.5" customHeight="1">
      <c r="A148" s="26" t="n"/>
      <c r="B148" s="26" t="n"/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46" t="n"/>
      <c r="L148" s="46" t="n"/>
      <c r="M148" s="46" t="n"/>
      <c r="N148" s="10" t="n"/>
      <c r="O148" s="10" t="n"/>
      <c r="P148" s="10" t="n"/>
      <c r="Q148" s="10" t="n"/>
      <c r="R148" s="11" t="n"/>
      <c r="S148" s="11" t="n"/>
    </row>
    <row r="149" ht="46.5" customHeight="1">
      <c r="A149" s="26" t="n"/>
      <c r="B149" s="26" t="n"/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46" t="n"/>
      <c r="L149" s="46" t="n"/>
      <c r="M149" s="46" t="n"/>
      <c r="N149" s="10" t="n"/>
      <c r="O149" s="10" t="n"/>
      <c r="P149" s="10" t="n"/>
      <c r="Q149" s="10" t="n"/>
      <c r="R149" s="11" t="n"/>
      <c r="S149" s="11" t="n"/>
    </row>
    <row r="150" ht="46.5" customHeight="1">
      <c r="A150" s="26" t="n"/>
      <c r="B150" s="26" t="n"/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46" t="n"/>
      <c r="L150" s="46" t="n"/>
      <c r="M150" s="46" t="n"/>
      <c r="N150" s="10" t="n"/>
      <c r="O150" s="10" t="n"/>
      <c r="P150" s="10" t="n"/>
      <c r="Q150" s="10" t="n"/>
      <c r="R150" s="11" t="n"/>
      <c r="S150" s="11" t="n"/>
    </row>
    <row r="151" ht="46.5" customHeight="1">
      <c r="A151" s="26" t="n"/>
      <c r="B151" s="26" t="n"/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46" t="n"/>
      <c r="L151" s="46" t="n"/>
      <c r="M151" s="46" t="n"/>
      <c r="N151" s="10" t="n"/>
      <c r="O151" s="10" t="n"/>
      <c r="P151" s="10" t="n"/>
      <c r="Q151" s="10" t="n"/>
      <c r="R151" s="11" t="n"/>
      <c r="S151" s="11" t="n"/>
    </row>
    <row r="152" ht="46.5" customHeight="1">
      <c r="A152" s="26" t="n"/>
      <c r="B152" s="26" t="n"/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46" t="n"/>
      <c r="L152" s="46" t="n"/>
      <c r="M152" s="46" t="n"/>
      <c r="N152" s="10" t="n"/>
      <c r="O152" s="10" t="n"/>
      <c r="P152" s="10" t="n"/>
      <c r="Q152" s="10" t="n"/>
      <c r="R152" s="11" t="n"/>
      <c r="S152" s="11" t="n"/>
    </row>
    <row r="153" ht="46.5" customHeight="1">
      <c r="A153" s="26" t="n"/>
      <c r="B153" s="26" t="n"/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46" t="n"/>
      <c r="L153" s="46" t="n"/>
      <c r="M153" s="46" t="n"/>
      <c r="N153" s="10" t="n"/>
      <c r="O153" s="10" t="n"/>
      <c r="P153" s="10" t="n"/>
      <c r="Q153" s="10" t="n"/>
      <c r="R153" s="11" t="n"/>
      <c r="S153" s="11" t="n"/>
    </row>
    <row r="154" ht="46.5" customHeight="1">
      <c r="A154" s="26" t="n"/>
      <c r="B154" s="26" t="n"/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46" t="n"/>
      <c r="L154" s="46" t="n"/>
      <c r="M154" s="46" t="n"/>
      <c r="N154" s="10" t="n"/>
      <c r="O154" s="10" t="n"/>
      <c r="P154" s="10" t="n"/>
      <c r="Q154" s="10" t="n"/>
      <c r="R154" s="11" t="n"/>
      <c r="S154" s="11" t="n"/>
    </row>
    <row r="155" ht="46.5" customHeight="1">
      <c r="A155" s="26" t="n"/>
      <c r="B155" s="26" t="n"/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46" t="n"/>
      <c r="L155" s="46" t="n"/>
      <c r="M155" s="46" t="n"/>
      <c r="N155" s="10" t="n"/>
      <c r="O155" s="10" t="n"/>
      <c r="P155" s="10" t="n"/>
      <c r="Q155" s="10" t="n"/>
      <c r="R155" s="11" t="n"/>
      <c r="S155" s="11" t="n"/>
    </row>
    <row r="156" ht="46.5" customHeight="1">
      <c r="A156" s="26" t="n"/>
      <c r="B156" s="26" t="n"/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46" t="n"/>
      <c r="L156" s="46" t="n"/>
      <c r="M156" s="46" t="n"/>
      <c r="N156" s="10" t="n"/>
      <c r="O156" s="10" t="n"/>
      <c r="P156" s="10" t="n"/>
      <c r="Q156" s="10" t="n"/>
      <c r="R156" s="11" t="n"/>
      <c r="S156" s="11" t="n"/>
    </row>
    <row r="157" ht="46.5" customHeight="1">
      <c r="A157" s="26" t="n"/>
      <c r="B157" s="26" t="n"/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46" t="n"/>
      <c r="L157" s="46" t="n"/>
      <c r="M157" s="46" t="n"/>
      <c r="N157" s="10" t="n"/>
      <c r="O157" s="10" t="n"/>
      <c r="P157" s="10" t="n"/>
      <c r="Q157" s="10" t="n"/>
      <c r="R157" s="11" t="n"/>
      <c r="S157" s="11" t="n"/>
    </row>
    <row r="158" ht="46.5" customHeight="1">
      <c r="A158" s="26" t="n"/>
      <c r="B158" s="26" t="n"/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46" t="n"/>
      <c r="L158" s="46" t="n"/>
      <c r="M158" s="46" t="n"/>
      <c r="N158" s="10" t="n"/>
      <c r="O158" s="10" t="n"/>
      <c r="P158" s="10" t="n"/>
      <c r="Q158" s="10" t="n"/>
      <c r="R158" s="11" t="n"/>
      <c r="S158" s="11" t="n"/>
    </row>
    <row r="159" ht="46.5" customHeight="1">
      <c r="A159" s="26" t="n"/>
      <c r="B159" s="26" t="n"/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46" t="n"/>
      <c r="L159" s="46" t="n"/>
      <c r="M159" s="46" t="n"/>
      <c r="N159" s="10" t="n"/>
      <c r="O159" s="10" t="n"/>
      <c r="P159" s="10" t="n"/>
      <c r="Q159" s="10" t="n"/>
      <c r="R159" s="11" t="n"/>
      <c r="S159" s="11" t="n"/>
    </row>
    <row r="160" ht="46.5" customHeight="1">
      <c r="A160" s="26" t="n"/>
      <c r="B160" s="26" t="n"/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46" t="n"/>
      <c r="L160" s="46" t="n"/>
      <c r="M160" s="46" t="n"/>
      <c r="N160" s="10" t="n"/>
      <c r="O160" s="10" t="n"/>
      <c r="P160" s="10" t="n"/>
      <c r="Q160" s="10" t="n"/>
      <c r="R160" s="11" t="n"/>
      <c r="S160" s="11" t="n"/>
    </row>
    <row r="161" ht="46.5" customHeight="1">
      <c r="A161" s="26" t="n"/>
      <c r="B161" s="26" t="n"/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46" t="n"/>
      <c r="L161" s="46" t="n"/>
      <c r="M161" s="46" t="n"/>
      <c r="N161" s="10" t="n"/>
      <c r="O161" s="10" t="n"/>
      <c r="P161" s="10" t="n"/>
      <c r="Q161" s="10" t="n"/>
      <c r="R161" s="11" t="n"/>
      <c r="S161" s="11" t="n"/>
    </row>
    <row r="162" ht="46.5" customHeight="1">
      <c r="A162" s="26" t="n"/>
      <c r="B162" s="26" t="n"/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46" t="n"/>
      <c r="L162" s="46" t="n"/>
      <c r="M162" s="46" t="n"/>
      <c r="N162" s="10" t="n"/>
      <c r="O162" s="10" t="n"/>
      <c r="P162" s="10" t="n"/>
      <c r="Q162" s="10" t="n"/>
      <c r="R162" s="11" t="n"/>
      <c r="S162" s="11" t="n"/>
    </row>
    <row r="163" ht="46.5" customHeight="1">
      <c r="A163" s="26" t="n"/>
      <c r="B163" s="26" t="n"/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46" t="n"/>
      <c r="L163" s="46" t="n"/>
      <c r="M163" s="46" t="n"/>
      <c r="N163" s="10" t="n"/>
      <c r="O163" s="10" t="n"/>
      <c r="P163" s="10" t="n"/>
      <c r="Q163" s="10" t="n"/>
      <c r="R163" s="11" t="n"/>
      <c r="S163" s="11" t="n"/>
    </row>
    <row r="164" ht="46.5" customHeight="1">
      <c r="A164" s="26" t="n"/>
      <c r="B164" s="26" t="n"/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46" t="n"/>
      <c r="L164" s="46" t="n"/>
      <c r="M164" s="46" t="n"/>
      <c r="N164" s="10" t="n"/>
      <c r="O164" s="10" t="n"/>
      <c r="P164" s="10" t="n"/>
      <c r="Q164" s="10" t="n"/>
      <c r="R164" s="11" t="n"/>
      <c r="S164" s="11" t="n"/>
    </row>
    <row r="165" ht="46.5" customHeight="1">
      <c r="A165" s="26" t="n"/>
      <c r="B165" s="26" t="n"/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46" t="n"/>
      <c r="L165" s="46" t="n"/>
      <c r="M165" s="46" t="n"/>
      <c r="N165" s="10" t="n"/>
      <c r="O165" s="10" t="n"/>
      <c r="P165" s="10" t="n"/>
      <c r="Q165" s="10" t="n"/>
      <c r="R165" s="11" t="n"/>
      <c r="S165" s="11" t="n"/>
    </row>
    <row r="166" ht="46.5" customHeight="1">
      <c r="A166" s="26" t="n"/>
      <c r="B166" s="26" t="n"/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46" t="n"/>
      <c r="L166" s="46" t="n"/>
      <c r="M166" s="46" t="n"/>
      <c r="N166" s="10" t="n"/>
      <c r="O166" s="10" t="n"/>
      <c r="P166" s="10" t="n"/>
      <c r="Q166" s="10" t="n"/>
      <c r="R166" s="11" t="n"/>
      <c r="S166" s="11" t="n"/>
    </row>
    <row r="167" ht="46.5" customHeight="1">
      <c r="A167" s="26" t="n"/>
      <c r="B167" s="26" t="n"/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46" t="n"/>
      <c r="L167" s="46" t="n"/>
      <c r="M167" s="46" t="n"/>
      <c r="N167" s="10" t="n"/>
      <c r="O167" s="10" t="n"/>
      <c r="P167" s="10" t="n"/>
      <c r="Q167" s="10" t="n"/>
      <c r="R167" s="11" t="n"/>
      <c r="S167" s="11" t="n"/>
    </row>
    <row r="168" ht="46.5" customHeight="1">
      <c r="A168" s="26" t="n"/>
      <c r="B168" s="26" t="n"/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46" t="n"/>
      <c r="L168" s="46" t="n"/>
      <c r="M168" s="46" t="n"/>
      <c r="N168" s="10" t="n"/>
      <c r="O168" s="10" t="n"/>
      <c r="P168" s="10" t="n"/>
      <c r="Q168" s="10" t="n"/>
      <c r="R168" s="11" t="n"/>
      <c r="S168" s="11" t="n"/>
    </row>
    <row r="169" ht="46.5" customHeight="1">
      <c r="A169" s="26" t="n"/>
      <c r="B169" s="26" t="n"/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46" t="n"/>
      <c r="L169" s="46" t="n"/>
      <c r="M169" s="46" t="n"/>
      <c r="N169" s="10" t="n"/>
      <c r="O169" s="10" t="n"/>
      <c r="P169" s="10" t="n"/>
      <c r="Q169" s="10" t="n"/>
      <c r="R169" s="11" t="n"/>
      <c r="S169" s="11" t="n"/>
    </row>
    <row r="170" ht="46.5" customHeight="1">
      <c r="A170" s="26" t="n"/>
      <c r="B170" s="26" t="n"/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46" t="n"/>
      <c r="L170" s="46" t="n"/>
      <c r="M170" s="46" t="n"/>
      <c r="N170" s="10" t="n"/>
      <c r="O170" s="10" t="n"/>
      <c r="P170" s="10" t="n"/>
      <c r="Q170" s="10" t="n"/>
      <c r="R170" s="11" t="n"/>
      <c r="S170" s="11" t="n"/>
    </row>
    <row r="171" ht="46.5" customHeight="1">
      <c r="A171" s="26" t="n"/>
      <c r="B171" s="26" t="n"/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46" t="n"/>
      <c r="L171" s="46" t="n"/>
      <c r="M171" s="46" t="n"/>
      <c r="N171" s="10" t="n"/>
      <c r="O171" s="10" t="n"/>
      <c r="P171" s="10" t="n"/>
      <c r="Q171" s="10" t="n"/>
      <c r="R171" s="11" t="n"/>
      <c r="S171" s="11" t="n"/>
    </row>
    <row r="172" ht="46.5" customHeight="1">
      <c r="A172" s="26" t="n"/>
      <c r="B172" s="26" t="n"/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46" t="n"/>
      <c r="L172" s="46" t="n"/>
      <c r="M172" s="46" t="n"/>
      <c r="N172" s="10" t="n"/>
      <c r="O172" s="10" t="n"/>
      <c r="P172" s="10" t="n"/>
      <c r="Q172" s="10" t="n"/>
      <c r="R172" s="11" t="n"/>
      <c r="S172" s="11" t="n"/>
    </row>
    <row r="173" ht="46.5" customHeight="1">
      <c r="A173" s="26" t="n"/>
      <c r="B173" s="26" t="n"/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46" t="n"/>
      <c r="L173" s="46" t="n"/>
      <c r="M173" s="46" t="n"/>
      <c r="N173" s="10" t="n"/>
      <c r="O173" s="10" t="n"/>
      <c r="P173" s="10" t="n"/>
      <c r="Q173" s="10" t="n"/>
      <c r="R173" s="11" t="n"/>
      <c r="S173" s="11" t="n"/>
    </row>
    <row r="174" ht="46.5" customHeight="1">
      <c r="A174" s="26" t="n"/>
      <c r="B174" s="26" t="n"/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46" t="n"/>
      <c r="L174" s="46" t="n"/>
      <c r="M174" s="46" t="n"/>
      <c r="N174" s="10" t="n"/>
      <c r="O174" s="10" t="n"/>
      <c r="P174" s="10" t="n"/>
      <c r="Q174" s="10" t="n"/>
      <c r="R174" s="11" t="n"/>
      <c r="S174" s="11" t="n"/>
    </row>
    <row r="175" ht="46.5" customHeight="1">
      <c r="A175" s="26" t="n"/>
      <c r="B175" s="26" t="n"/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46" t="n"/>
      <c r="L175" s="46" t="n"/>
      <c r="M175" s="46" t="n"/>
      <c r="N175" s="10" t="n"/>
      <c r="O175" s="10" t="n"/>
      <c r="P175" s="10" t="n"/>
      <c r="Q175" s="10" t="n"/>
      <c r="R175" s="11" t="n"/>
      <c r="S175" s="11" t="n"/>
    </row>
    <row r="176" ht="46.5" customHeight="1">
      <c r="A176" s="26" t="n"/>
      <c r="B176" s="26" t="n"/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46" t="n"/>
      <c r="L176" s="46" t="n"/>
      <c r="M176" s="46" t="n"/>
      <c r="N176" s="10" t="n"/>
      <c r="O176" s="10" t="n"/>
      <c r="P176" s="10" t="n"/>
      <c r="Q176" s="10" t="n"/>
      <c r="R176" s="11" t="n"/>
      <c r="S176" s="11" t="n"/>
    </row>
    <row r="177" ht="46.5" customHeight="1">
      <c r="A177" s="26" t="n"/>
      <c r="B177" s="26" t="n"/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46" t="n"/>
      <c r="L177" s="46" t="n"/>
      <c r="M177" s="46" t="n"/>
      <c r="N177" s="10" t="n"/>
      <c r="O177" s="10" t="n"/>
      <c r="P177" s="10" t="n"/>
      <c r="Q177" s="10" t="n"/>
      <c r="R177" s="11" t="n"/>
      <c r="S177" s="11" t="n"/>
    </row>
    <row r="178" ht="46.5" customHeight="1">
      <c r="A178" s="26" t="n"/>
      <c r="B178" s="26" t="n"/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46" t="n"/>
      <c r="L178" s="46" t="n"/>
      <c r="M178" s="46" t="n"/>
      <c r="N178" s="10" t="n"/>
      <c r="O178" s="10" t="n"/>
      <c r="P178" s="10" t="n"/>
      <c r="Q178" s="10" t="n"/>
      <c r="R178" s="11" t="n"/>
      <c r="S178" s="11" t="n"/>
    </row>
    <row r="179" ht="46.5" customHeight="1">
      <c r="A179" s="26" t="n"/>
      <c r="B179" s="26" t="n"/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46" t="n"/>
      <c r="L179" s="46" t="n"/>
      <c r="M179" s="46" t="n"/>
      <c r="N179" s="10" t="n"/>
      <c r="O179" s="10" t="n"/>
      <c r="P179" s="10" t="n"/>
      <c r="Q179" s="10" t="n"/>
      <c r="R179" s="11" t="n"/>
      <c r="S179" s="11" t="n"/>
    </row>
    <row r="180" ht="46.5" customHeight="1">
      <c r="A180" s="26" t="n"/>
      <c r="B180" s="26" t="n"/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46" t="n"/>
      <c r="L180" s="46" t="n"/>
      <c r="M180" s="46" t="n"/>
      <c r="N180" s="10" t="n"/>
      <c r="O180" s="10" t="n"/>
      <c r="P180" s="10" t="n"/>
      <c r="Q180" s="10" t="n"/>
      <c r="R180" s="11" t="n"/>
      <c r="S180" s="11" t="n"/>
    </row>
    <row r="181" ht="46.5" customHeight="1">
      <c r="A181" s="26" t="n"/>
      <c r="B181" s="26" t="n"/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46" t="n"/>
      <c r="L181" s="46" t="n"/>
      <c r="M181" s="46" t="n"/>
      <c r="N181" s="10" t="n"/>
      <c r="O181" s="10" t="n"/>
      <c r="P181" s="10" t="n"/>
      <c r="Q181" s="10" t="n"/>
      <c r="R181" s="11" t="n"/>
      <c r="S181" s="11" t="n"/>
    </row>
    <row r="182" ht="46.5" customHeight="1">
      <c r="A182" s="26" t="n"/>
      <c r="B182" s="26" t="n"/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46" t="n"/>
      <c r="L182" s="46" t="n"/>
      <c r="M182" s="46" t="n"/>
      <c r="N182" s="10" t="n"/>
      <c r="O182" s="10" t="n"/>
      <c r="P182" s="10" t="n"/>
      <c r="Q182" s="10" t="n"/>
      <c r="R182" s="11" t="n"/>
      <c r="S182" s="11" t="n"/>
    </row>
    <row r="183" ht="46.5" customHeight="1">
      <c r="A183" s="26" t="n"/>
      <c r="B183" s="26" t="n"/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46" t="n"/>
      <c r="L183" s="46" t="n"/>
      <c r="M183" s="46" t="n"/>
      <c r="N183" s="10" t="n"/>
      <c r="O183" s="10" t="n"/>
      <c r="P183" s="10" t="n"/>
      <c r="Q183" s="10" t="n"/>
      <c r="R183" s="11" t="n"/>
      <c r="S183" s="11" t="n"/>
    </row>
    <row r="184" ht="46.5" customHeight="1">
      <c r="A184" s="26" t="n"/>
      <c r="B184" s="26" t="n"/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46" t="n"/>
      <c r="L184" s="46" t="n"/>
      <c r="M184" s="46" t="n"/>
      <c r="N184" s="10" t="n"/>
      <c r="O184" s="10" t="n"/>
      <c r="P184" s="10" t="n"/>
      <c r="Q184" s="10" t="n"/>
      <c r="R184" s="11" t="n"/>
      <c r="S184" s="11" t="n"/>
    </row>
    <row r="185" ht="46.5" customHeight="1">
      <c r="A185" s="26" t="n"/>
      <c r="B185" s="26" t="n"/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46" t="n"/>
      <c r="L185" s="46" t="n"/>
      <c r="M185" s="46" t="n"/>
      <c r="N185" s="10" t="n"/>
      <c r="O185" s="10" t="n"/>
      <c r="P185" s="10" t="n"/>
      <c r="Q185" s="10" t="n"/>
      <c r="R185" s="11" t="n"/>
      <c r="S185" s="11" t="n"/>
    </row>
    <row r="186" ht="46.5" customHeight="1">
      <c r="A186" s="26" t="n"/>
      <c r="B186" s="26" t="n"/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46" t="n"/>
      <c r="L186" s="46" t="n"/>
      <c r="M186" s="46" t="n"/>
      <c r="N186" s="10" t="n"/>
      <c r="O186" s="10" t="n"/>
      <c r="P186" s="10" t="n"/>
      <c r="Q186" s="10" t="n"/>
      <c r="R186" s="11" t="n"/>
      <c r="S186" s="11" t="n"/>
    </row>
    <row r="187" ht="46.5" customHeight="1">
      <c r="A187" s="26" t="n"/>
      <c r="B187" s="26" t="n"/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46" t="n"/>
      <c r="L187" s="46" t="n"/>
      <c r="M187" s="46" t="n"/>
      <c r="N187" s="10" t="n"/>
      <c r="O187" s="10" t="n"/>
      <c r="P187" s="10" t="n"/>
      <c r="Q187" s="10" t="n"/>
      <c r="R187" s="11" t="n"/>
      <c r="S187" s="11" t="n"/>
    </row>
    <row r="188" ht="46.5" customHeight="1">
      <c r="A188" s="26" t="n"/>
      <c r="B188" s="26" t="n"/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46" t="n"/>
      <c r="L188" s="46" t="n"/>
      <c r="M188" s="46" t="n"/>
      <c r="N188" s="10" t="n"/>
      <c r="O188" s="10" t="n"/>
      <c r="P188" s="10" t="n"/>
      <c r="Q188" s="10" t="n"/>
      <c r="R188" s="11" t="n"/>
      <c r="S188" s="11" t="n"/>
    </row>
    <row r="189" ht="46.5" customHeight="1">
      <c r="A189" s="26" t="n"/>
      <c r="B189" s="26" t="n"/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46" t="n"/>
      <c r="L189" s="46" t="n"/>
      <c r="M189" s="46" t="n"/>
      <c r="N189" s="10" t="n"/>
      <c r="O189" s="10" t="n"/>
      <c r="P189" s="10" t="n"/>
      <c r="Q189" s="10" t="n"/>
      <c r="R189" s="11" t="n"/>
      <c r="S189" s="11" t="n"/>
    </row>
    <row r="190" ht="46.5" customHeight="1">
      <c r="A190" s="26" t="n"/>
      <c r="B190" s="26" t="n"/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46" t="n"/>
      <c r="L190" s="46" t="n"/>
      <c r="M190" s="46" t="n"/>
      <c r="N190" s="10" t="n"/>
      <c r="O190" s="10" t="n"/>
      <c r="P190" s="10" t="n"/>
      <c r="Q190" s="10" t="n"/>
      <c r="R190" s="11" t="n"/>
      <c r="S190" s="11" t="n"/>
    </row>
    <row r="191" ht="46.5" customHeight="1">
      <c r="A191" s="26" t="n"/>
      <c r="B191" s="26" t="n"/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46" t="n"/>
      <c r="L191" s="46" t="n"/>
      <c r="M191" s="46" t="n"/>
      <c r="N191" s="10" t="n"/>
      <c r="O191" s="10" t="n"/>
      <c r="P191" s="10" t="n"/>
      <c r="Q191" s="10" t="n"/>
      <c r="R191" s="11" t="n"/>
      <c r="S191" s="11" t="n"/>
    </row>
    <row r="192" ht="46.5" customHeight="1">
      <c r="A192" s="26" t="n"/>
      <c r="B192" s="26" t="n"/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46" t="n"/>
      <c r="L192" s="46" t="n"/>
      <c r="M192" s="46" t="n"/>
      <c r="N192" s="10" t="n"/>
      <c r="O192" s="10" t="n"/>
      <c r="P192" s="10" t="n"/>
      <c r="Q192" s="10" t="n"/>
      <c r="R192" s="11" t="n"/>
      <c r="S192" s="11" t="n"/>
    </row>
    <row r="193" ht="46.5" customHeight="1">
      <c r="A193" s="26" t="n"/>
      <c r="B193" s="26" t="n"/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46" t="n"/>
      <c r="L193" s="46" t="n"/>
      <c r="M193" s="46" t="n"/>
      <c r="N193" s="10" t="n"/>
      <c r="O193" s="10" t="n"/>
      <c r="P193" s="10" t="n"/>
      <c r="Q193" s="10" t="n"/>
      <c r="R193" s="11" t="n"/>
      <c r="S193" s="11" t="n"/>
    </row>
    <row r="194" ht="46.5" customHeight="1">
      <c r="A194" s="26" t="n"/>
      <c r="B194" s="26" t="n"/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46" t="n"/>
      <c r="L194" s="46" t="n"/>
      <c r="M194" s="46" t="n"/>
      <c r="N194" s="10" t="n"/>
      <c r="O194" s="10" t="n"/>
      <c r="P194" s="10" t="n"/>
      <c r="Q194" s="10" t="n"/>
      <c r="R194" s="11" t="n"/>
      <c r="S194" s="11" t="n"/>
    </row>
    <row r="195" ht="46.5" customHeight="1">
      <c r="A195" s="26" t="n"/>
      <c r="B195" s="26" t="n"/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46" t="n"/>
      <c r="L195" s="46" t="n"/>
      <c r="M195" s="46" t="n"/>
      <c r="N195" s="10" t="n"/>
      <c r="O195" s="10" t="n"/>
      <c r="P195" s="10" t="n"/>
      <c r="Q195" s="10" t="n"/>
      <c r="R195" s="11" t="n"/>
      <c r="S195" s="11" t="n"/>
    </row>
    <row r="196" ht="46.5" customHeight="1">
      <c r="A196" s="26" t="n"/>
      <c r="B196" s="26" t="n"/>
      <c r="C196" s="26" t="n"/>
      <c r="D196" s="26" t="n"/>
      <c r="E196" s="26" t="n"/>
      <c r="F196" s="26" t="n"/>
      <c r="G196" s="26" t="n"/>
      <c r="H196" s="26" t="n"/>
      <c r="I196" s="26" t="n"/>
      <c r="J196" s="26" t="n"/>
      <c r="K196" s="46" t="n"/>
      <c r="L196" s="46" t="n"/>
      <c r="M196" s="46" t="n"/>
      <c r="N196" s="10" t="n"/>
      <c r="O196" s="10" t="n"/>
      <c r="P196" s="10" t="n"/>
      <c r="Q196" s="10" t="n"/>
      <c r="R196" s="11" t="n"/>
      <c r="S196" s="11" t="n"/>
    </row>
    <row r="197" ht="46.5" customHeight="1">
      <c r="A197" s="26" t="n"/>
      <c r="B197" s="26" t="n"/>
      <c r="C197" s="26" t="n"/>
      <c r="D197" s="26" t="n"/>
      <c r="E197" s="26" t="n"/>
      <c r="F197" s="26" t="n"/>
      <c r="G197" s="26" t="n"/>
      <c r="H197" s="26" t="n"/>
      <c r="I197" s="26" t="n"/>
      <c r="J197" s="26" t="n"/>
      <c r="K197" s="46" t="n"/>
      <c r="L197" s="46" t="n"/>
      <c r="M197" s="46" t="n"/>
      <c r="N197" s="10" t="n"/>
      <c r="O197" s="10" t="n"/>
      <c r="P197" s="10" t="n"/>
      <c r="Q197" s="10" t="n"/>
      <c r="R197" s="11" t="n"/>
      <c r="S197" s="11" t="n"/>
    </row>
    <row r="198" ht="46.5" customHeight="1">
      <c r="A198" s="26" t="n"/>
      <c r="B198" s="26" t="n"/>
      <c r="C198" s="26" t="n"/>
      <c r="D198" s="26" t="n"/>
      <c r="E198" s="26" t="n"/>
      <c r="F198" s="26" t="n"/>
      <c r="G198" s="26" t="n"/>
      <c r="H198" s="26" t="n"/>
      <c r="I198" s="26" t="n"/>
      <c r="J198" s="26" t="n"/>
      <c r="K198" s="46" t="n"/>
      <c r="L198" s="46" t="n"/>
      <c r="M198" s="46" t="n"/>
      <c r="N198" s="10" t="n"/>
      <c r="O198" s="10" t="n"/>
      <c r="P198" s="10" t="n"/>
      <c r="Q198" s="10" t="n"/>
      <c r="R198" s="11" t="n"/>
      <c r="S198" s="11" t="n"/>
    </row>
    <row r="199" ht="46.5" customHeight="1">
      <c r="A199" s="26" t="n"/>
      <c r="B199" s="26" t="n"/>
      <c r="C199" s="26" t="n"/>
      <c r="D199" s="26" t="n"/>
      <c r="E199" s="26" t="n"/>
      <c r="F199" s="26" t="n"/>
      <c r="G199" s="26" t="n"/>
      <c r="H199" s="26" t="n"/>
      <c r="I199" s="26" t="n"/>
      <c r="J199" s="26" t="n"/>
      <c r="K199" s="46" t="n"/>
      <c r="L199" s="46" t="n"/>
      <c r="M199" s="46" t="n"/>
      <c r="N199" s="10" t="n"/>
      <c r="O199" s="10" t="n"/>
      <c r="P199" s="10" t="n"/>
      <c r="Q199" s="10" t="n"/>
      <c r="R199" s="11" t="n"/>
      <c r="S199" s="11" t="n"/>
    </row>
    <row r="200" ht="46.5" customHeight="1">
      <c r="A200" s="26" t="n"/>
      <c r="B200" s="26" t="n"/>
      <c r="C200" s="26" t="n"/>
      <c r="D200" s="26" t="n"/>
      <c r="E200" s="26" t="n"/>
      <c r="F200" s="26" t="n"/>
      <c r="G200" s="26" t="n"/>
      <c r="H200" s="26" t="n"/>
      <c r="I200" s="26" t="n"/>
      <c r="J200" s="26" t="n"/>
      <c r="K200" s="46" t="n"/>
      <c r="L200" s="46" t="n"/>
      <c r="M200" s="46" t="n"/>
      <c r="N200" s="10" t="n"/>
      <c r="O200" s="10" t="n"/>
      <c r="P200" s="10" t="n"/>
      <c r="Q200" s="10" t="n"/>
      <c r="R200" s="11" t="n"/>
      <c r="S200" s="11" t="n"/>
    </row>
    <row r="201" ht="46.5" customHeight="1">
      <c r="A201" s="26" t="n"/>
      <c r="B201" s="26" t="n"/>
      <c r="C201" s="26" t="n"/>
      <c r="D201" s="26" t="n"/>
      <c r="E201" s="26" t="n"/>
      <c r="F201" s="26" t="n"/>
      <c r="G201" s="26" t="n"/>
      <c r="H201" s="26" t="n"/>
      <c r="I201" s="26" t="n"/>
      <c r="J201" s="26" t="n"/>
      <c r="K201" s="46" t="n"/>
      <c r="L201" s="46" t="n"/>
      <c r="M201" s="46" t="n"/>
      <c r="N201" s="10" t="n"/>
      <c r="O201" s="10" t="n"/>
      <c r="P201" s="10" t="n"/>
      <c r="Q201" s="10" t="n"/>
      <c r="R201" s="11" t="n"/>
      <c r="S201" s="11" t="n"/>
      <c r="AA201" s="5" t="n"/>
    </row>
    <row r="202" ht="46.5" customHeight="1">
      <c r="A202" s="26" t="n"/>
      <c r="B202" s="26" t="n"/>
      <c r="C202" s="26" t="n"/>
      <c r="D202" s="26" t="n"/>
      <c r="E202" s="26" t="n"/>
      <c r="F202" s="26" t="n"/>
      <c r="G202" s="26" t="n"/>
      <c r="H202" s="26" t="n"/>
      <c r="I202" s="26" t="n"/>
      <c r="J202" s="26" t="n"/>
      <c r="K202" s="46" t="n"/>
      <c r="L202" s="46" t="n"/>
      <c r="M202" s="46" t="n"/>
      <c r="N202" s="10" t="n"/>
      <c r="O202" s="10" t="n"/>
      <c r="P202" s="10" t="n"/>
      <c r="Q202" s="10" t="n"/>
      <c r="R202" s="11" t="n"/>
      <c r="S202" s="11" t="n"/>
      <c r="AA202" s="5" t="n"/>
    </row>
    <row r="203" ht="46.5" customHeight="1">
      <c r="A203" s="26" t="n"/>
      <c r="B203" s="26" t="n"/>
      <c r="C203" s="26" t="n"/>
      <c r="D203" s="26" t="n"/>
      <c r="E203" s="26" t="n"/>
      <c r="F203" s="26" t="n"/>
      <c r="G203" s="26" t="n"/>
      <c r="H203" s="26" t="n"/>
      <c r="I203" s="26" t="n"/>
      <c r="J203" s="26" t="n"/>
      <c r="K203" s="46" t="n"/>
      <c r="L203" s="46" t="n"/>
      <c r="M203" s="46" t="n"/>
      <c r="N203" s="10" t="n"/>
      <c r="O203" s="10" t="n"/>
      <c r="P203" s="10" t="n"/>
      <c r="Q203" s="10" t="n"/>
      <c r="R203" s="11" t="n"/>
      <c r="S203" s="11" t="n"/>
      <c r="AA203" s="5" t="n"/>
    </row>
    <row r="204" ht="46.5" customHeight="1">
      <c r="A204" s="26" t="n"/>
      <c r="B204" s="26" t="n"/>
      <c r="C204" s="26" t="n"/>
      <c r="D204" s="26" t="n"/>
      <c r="E204" s="26" t="n"/>
      <c r="F204" s="26" t="n"/>
      <c r="G204" s="26" t="n"/>
      <c r="H204" s="26" t="n"/>
      <c r="I204" s="26" t="n"/>
      <c r="J204" s="26" t="n"/>
      <c r="K204" s="46" t="n"/>
      <c r="L204" s="46" t="n"/>
      <c r="M204" s="46" t="n"/>
      <c r="N204" s="10" t="n"/>
      <c r="O204" s="10" t="n"/>
      <c r="P204" s="10" t="n"/>
      <c r="Q204" s="10" t="n"/>
      <c r="R204" s="11" t="n"/>
      <c r="S204" s="11" t="n"/>
      <c r="AA204" s="5" t="n"/>
    </row>
    <row r="205" ht="46.5" customHeight="1">
      <c r="A205" s="26" t="n"/>
      <c r="B205" s="26" t="n"/>
      <c r="C205" s="26" t="n"/>
      <c r="D205" s="26" t="n"/>
      <c r="E205" s="26" t="n"/>
      <c r="F205" s="26" t="n"/>
      <c r="G205" s="26" t="n"/>
      <c r="H205" s="26" t="n"/>
      <c r="I205" s="26" t="n"/>
      <c r="J205" s="26" t="n"/>
      <c r="K205" s="46" t="n"/>
      <c r="L205" s="46" t="n"/>
      <c r="M205" s="46" t="n"/>
      <c r="N205" s="10" t="n"/>
      <c r="O205" s="10" t="n"/>
      <c r="P205" s="10" t="n"/>
      <c r="Q205" s="10" t="n"/>
      <c r="R205" s="11" t="n"/>
      <c r="S205" s="11" t="n"/>
    </row>
    <row r="206" ht="77.25" customHeight="1">
      <c r="A206" s="61" t="inlineStr">
        <is>
          <t>SOMA</t>
        </is>
      </c>
      <c r="B206" s="62" t="n"/>
      <c r="C206" s="63" t="n"/>
      <c r="D206" s="34">
        <f>SUM(D4:D205)</f>
        <v/>
      </c>
      <c r="E206" s="56" t="n"/>
      <c r="F206" s="34">
        <f>SUM(F4:F205)</f>
        <v/>
      </c>
      <c r="G206" s="34">
        <f>SUM(G4:G205)</f>
        <v/>
      </c>
      <c r="H206" s="34">
        <f>SUM(H4:H205)</f>
        <v/>
      </c>
      <c r="I206" s="56" t="n"/>
      <c r="J206" s="56" t="n"/>
      <c r="K206" s="34">
        <f>SUM(K4:K205)</f>
        <v/>
      </c>
      <c r="L206" s="34">
        <f>SUM(L4:L205)</f>
        <v/>
      </c>
      <c r="M206" s="34">
        <f>SUM(M4:M205)</f>
        <v/>
      </c>
      <c r="N206" s="34">
        <f>SUM(N4:N205)</f>
        <v/>
      </c>
      <c r="O206" s="10">
        <f>(K206+M206)/G206</f>
        <v/>
      </c>
      <c r="P206" s="10">
        <f>L206/G206</f>
        <v/>
      </c>
      <c r="Q206" s="34">
        <f>SUM(Q4:Q205)</f>
        <v/>
      </c>
      <c r="R206" s="34">
        <f>SUM(R4:R205)</f>
        <v/>
      </c>
      <c r="S206" s="34">
        <f>SUM(S4:S205)</f>
        <v/>
      </c>
    </row>
  </sheetData>
  <mergeCells count="1">
    <mergeCell ref="A206:C206"/>
  </mergeCells>
  <pageMargins left="0.511811024" right="0.511811024" top="0.787401575" bottom="0.787401575" header="0.31496062" footer="0.31496062"/>
  <pageSetup orientation="portrait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S12"/>
  <sheetViews>
    <sheetView zoomScale="70" zoomScaleNormal="70" workbookViewId="0">
      <pane ySplit="3" topLeftCell="A4" activePane="bottomLeft" state="frozen"/>
      <selection activeCell="H4" sqref="H4"/>
      <selection pane="bottomLeft" activeCell="B7" sqref="B7"/>
    </sheetView>
  </sheetViews>
  <sheetFormatPr baseColWidth="8" defaultRowHeight="15" customHeight="1"/>
  <cols>
    <col width="13.6640625" customWidth="1" min="1" max="1"/>
    <col width="87.109375" customWidth="1" min="2" max="2"/>
    <col width="90.44140625" customWidth="1" min="3" max="3"/>
    <col width="13.6640625" customWidth="1" min="4" max="5"/>
    <col width="21.33203125" bestFit="1" customWidth="1" min="6" max="6"/>
    <col width="19.5546875" bestFit="1" customWidth="1" style="7" min="7" max="7"/>
    <col width="19.5546875" customWidth="1" style="7" min="8" max="8"/>
    <col width="17.33203125" customWidth="1" min="9" max="9"/>
    <col width="13.6640625" customWidth="1" min="10" max="10"/>
    <col width="13.6640625" customWidth="1" style="8" min="11" max="11"/>
    <col width="17.88671875" customWidth="1" style="8" min="12" max="13"/>
    <col width="13.6640625" customWidth="1" style="9" min="14" max="14"/>
    <col width="15.6640625" customWidth="1" style="9" min="15" max="15"/>
    <col width="19.88671875" customWidth="1" style="9" min="16" max="16"/>
    <col width="15.6640625" customWidth="1" style="9" min="17" max="17"/>
    <col width="16.5546875" customWidth="1" min="18" max="18"/>
    <col width="15" customWidth="1" min="19" max="19"/>
  </cols>
  <sheetData>
    <row r="1" ht="30" customHeight="1">
      <c r="A1" s="15" t="inlineStr">
        <is>
          <t>CONTROLE DE PEÇAS</t>
        </is>
      </c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6" t="n"/>
      <c r="L1" s="16" t="n"/>
      <c r="M1" s="16" t="n"/>
      <c r="N1" s="16" t="n"/>
      <c r="O1" s="16" t="n"/>
      <c r="P1" s="16" t="n"/>
      <c r="Q1" s="16" t="n"/>
      <c r="R1" s="16" t="n"/>
      <c r="S1" s="16" t="n"/>
    </row>
    <row r="2" ht="30" customHeight="1" thickBot="1">
      <c r="A2" s="13" t="inlineStr">
        <is>
          <t>OBRA:</t>
        </is>
      </c>
      <c r="B2" s="14" t="inlineStr">
        <is>
          <t>CROMA</t>
        </is>
      </c>
      <c r="C2" s="14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14" t="n"/>
      <c r="P2" s="14" t="n"/>
      <c r="Q2" s="14" t="n"/>
      <c r="R2" s="14" t="n"/>
      <c r="S2" s="14" t="n"/>
    </row>
    <row r="3" ht="60" customFormat="1" customHeight="1" s="5">
      <c r="A3" s="12" t="inlineStr">
        <is>
          <t>TIPO DE PEÇA</t>
        </is>
      </c>
      <c r="B3" s="1" t="inlineStr">
        <is>
          <t>TÍTULO DA PEÇA</t>
        </is>
      </c>
      <c r="C3" s="1" t="inlineStr">
        <is>
          <t>NOME DESENHO</t>
        </is>
      </c>
      <c r="D3" s="1" t="inlineStr">
        <is>
          <t>QUANTIDADE</t>
        </is>
      </c>
      <c r="E3" s="1" t="inlineStr">
        <is>
          <t>SEÇÃO</t>
        </is>
      </c>
      <c r="F3" s="1" t="inlineStr">
        <is>
          <t>COMPRIMENTO (cm)</t>
        </is>
      </c>
      <c r="G3" s="2" t="inlineStr">
        <is>
          <t>VOLUME DE CONCRETO (m³)</t>
        </is>
      </c>
      <c r="H3" s="2" t="inlineStr">
        <is>
          <t>VOLUME DE CONCRETO TOTAL(m³)</t>
        </is>
      </c>
      <c r="I3" s="1" t="inlineStr">
        <is>
          <t>fck (Mpa)</t>
        </is>
      </c>
      <c r="J3" s="1" t="inlineStr">
        <is>
          <t>fcj (Mpa)</t>
        </is>
      </c>
      <c r="K3" s="3" t="inlineStr">
        <is>
          <t>PESO AÇO FROUXO (kg)</t>
        </is>
      </c>
      <c r="L3" s="3" t="inlineStr">
        <is>
          <t>PESO AÇO PROTENDIDO (kg)</t>
        </is>
      </c>
      <c r="M3" s="3" t="inlineStr">
        <is>
          <t>PESO AÇO CONSOLO (kg)</t>
        </is>
      </c>
      <c r="N3" s="4" t="inlineStr">
        <is>
          <t>PESO TOTAL UNITÁRIO (kg)</t>
        </is>
      </c>
      <c r="O3" s="4" t="inlineStr">
        <is>
          <t>TAXA AÇO FROUXO (kg/m³)</t>
        </is>
      </c>
      <c r="P3" s="4" t="inlineStr">
        <is>
          <t>TAXA AÇO PROTENDIDO (kg/m³)</t>
        </is>
      </c>
      <c r="Q3" s="4" t="inlineStr">
        <is>
          <t>PESO TOTAL (t)</t>
        </is>
      </c>
      <c r="R3" s="3" t="inlineStr">
        <is>
          <t>PESO TOTAL AÇO FROUXO (t)</t>
        </is>
      </c>
      <c r="S3" s="3" t="inlineStr">
        <is>
          <t>PESO TOTAL AÇO PROTENDIDO (t)</t>
        </is>
      </c>
    </row>
    <row r="4" ht="46.5" customHeight="1">
      <c r="A4" s="21" t="inlineStr">
        <is>
          <t>VIGA</t>
        </is>
      </c>
      <c r="B4" s="35" t="inlineStr">
        <is>
          <t>VR219</t>
        </is>
      </c>
      <c r="C4" s="36" t="inlineStr">
        <is>
          <t>VR219-20X84X657.5-FORMA E ARMAÇÃO-R01</t>
        </is>
      </c>
      <c r="D4" s="21" t="n">
        <v>1</v>
      </c>
      <c r="E4" s="20" t="inlineStr">
        <is>
          <t>20x84</t>
        </is>
      </c>
      <c r="F4" s="20" t="n">
        <v>657.5</v>
      </c>
      <c r="G4" s="21" t="n">
        <v>1.026</v>
      </c>
      <c r="H4" s="21">
        <f>G4*D4</f>
        <v/>
      </c>
      <c r="I4" s="21" t="n">
        <v>45</v>
      </c>
      <c r="J4" s="21" t="n">
        <v>20</v>
      </c>
      <c r="K4" s="22">
        <f>104.89-3.17</f>
        <v/>
      </c>
      <c r="L4" s="22" t="n">
        <v>3.17</v>
      </c>
      <c r="M4" s="22" t="n">
        <v>0</v>
      </c>
      <c r="N4" s="10">
        <f>G4*2400+K4+L4+M4</f>
        <v/>
      </c>
      <c r="O4" s="10">
        <f>(K4+M4)/G4</f>
        <v/>
      </c>
      <c r="P4" s="10">
        <f>L4/G4</f>
        <v/>
      </c>
      <c r="Q4" s="10">
        <f>N4*D4/1000</f>
        <v/>
      </c>
      <c r="R4" s="11">
        <f>K4*D4/1000</f>
        <v/>
      </c>
      <c r="S4" s="11">
        <f>L4*D4/1000</f>
        <v/>
      </c>
    </row>
    <row r="5" ht="46.5" customHeight="1">
      <c r="A5" s="21" t="inlineStr">
        <is>
          <t>VIGA</t>
        </is>
      </c>
      <c r="B5" s="35" t="inlineStr">
        <is>
          <t>VR220</t>
        </is>
      </c>
      <c r="C5" s="36" t="inlineStr">
        <is>
          <t>VR220-20X84X642.5-FORMA E ARMAÇÃO-R02</t>
        </is>
      </c>
      <c r="D5" s="21" t="n">
        <v>1</v>
      </c>
      <c r="E5" s="20" t="inlineStr">
        <is>
          <t>20x84</t>
        </is>
      </c>
      <c r="F5" s="20" t="n">
        <v>642.5</v>
      </c>
      <c r="G5" s="21" t="n">
        <v>1.001</v>
      </c>
      <c r="H5" s="21">
        <f>G5*D5</f>
        <v/>
      </c>
      <c r="I5" s="21" t="n">
        <v>45</v>
      </c>
      <c r="J5" s="21" t="n">
        <v>20</v>
      </c>
      <c r="K5" s="22">
        <f>102.75-3.17</f>
        <v/>
      </c>
      <c r="L5" s="22" t="n">
        <v>3.17</v>
      </c>
      <c r="M5" s="22" t="n">
        <v>0</v>
      </c>
      <c r="N5" s="10">
        <f>G5*2400+K5+L5+M5</f>
        <v/>
      </c>
      <c r="O5" s="10">
        <f>(K5+M5)/G5</f>
        <v/>
      </c>
      <c r="P5" s="10">
        <f>L5/G5</f>
        <v/>
      </c>
      <c r="Q5" s="10">
        <f>N5*D5/1000</f>
        <v/>
      </c>
      <c r="R5" s="11">
        <f>K5*D5/1000</f>
        <v/>
      </c>
      <c r="S5" s="11">
        <f>L5*D5/1000</f>
        <v/>
      </c>
    </row>
    <row r="6" ht="46.5" customHeight="1">
      <c r="A6" s="27" t="inlineStr">
        <is>
          <t>VIGA</t>
        </is>
      </c>
      <c r="B6" s="28" t="inlineStr">
        <is>
          <t>VTI111</t>
        </is>
      </c>
      <c r="C6" s="29" t="inlineStr">
        <is>
          <t>VTI111-60x36x717-FORMA E ARMAÇÃO-R02</t>
        </is>
      </c>
      <c r="D6" s="27" t="n">
        <v>3</v>
      </c>
      <c r="E6" s="42" t="inlineStr">
        <is>
          <t>60x36</t>
        </is>
      </c>
      <c r="F6" s="42" t="n">
        <v>717</v>
      </c>
      <c r="G6" s="27" t="n">
        <v>1.168</v>
      </c>
      <c r="H6" s="27">
        <f>G6*D6</f>
        <v/>
      </c>
      <c r="I6" s="27" t="n">
        <v>45</v>
      </c>
      <c r="J6" s="27" t="n">
        <v>27</v>
      </c>
      <c r="K6" s="43">
        <f>282.5-88.8-2.85</f>
        <v/>
      </c>
      <c r="L6" s="43">
        <f>88.8+2.85</f>
        <v/>
      </c>
      <c r="M6" s="43" t="n">
        <v>0</v>
      </c>
      <c r="N6" s="10">
        <f>G6*2400+K6+L6+M6</f>
        <v/>
      </c>
      <c r="O6" s="10">
        <f>(K6+M6)/G6</f>
        <v/>
      </c>
      <c r="P6" s="10">
        <f>L6/G6</f>
        <v/>
      </c>
      <c r="Q6" s="10">
        <f>N6*D6/1000</f>
        <v/>
      </c>
      <c r="R6" s="11">
        <f>K6*D6/1000</f>
        <v/>
      </c>
      <c r="S6" s="11">
        <f>L6*D6/1000</f>
        <v/>
      </c>
    </row>
    <row r="7" ht="46.5" customHeight="1">
      <c r="A7" s="47" t="n"/>
      <c r="B7" s="47" t="n"/>
      <c r="C7" s="47" t="n"/>
      <c r="D7" s="47" t="n"/>
      <c r="E7" s="47" t="n"/>
      <c r="F7" s="47" t="n"/>
      <c r="G7" s="47" t="n"/>
      <c r="H7" s="47">
        <f>G7*D7</f>
        <v/>
      </c>
      <c r="I7" s="47" t="n"/>
      <c r="J7" s="47" t="n"/>
      <c r="K7" s="48" t="n"/>
      <c r="L7" s="48" t="n"/>
      <c r="M7" s="48" t="n"/>
      <c r="N7" s="10">
        <f>G7*2400+K7+L7+M7</f>
        <v/>
      </c>
      <c r="O7" s="10">
        <f>(K7+M7)/G7</f>
        <v/>
      </c>
      <c r="P7" s="10">
        <f>L7/G7</f>
        <v/>
      </c>
      <c r="Q7" s="10">
        <f>N7*D7/1000</f>
        <v/>
      </c>
      <c r="R7" s="11">
        <f>K7*D7/1000</f>
        <v/>
      </c>
      <c r="S7" s="11">
        <f>L7*D7/1000</f>
        <v/>
      </c>
    </row>
    <row r="8" ht="46.5" customHeight="1">
      <c r="A8" s="47" t="n"/>
      <c r="B8" s="47" t="n"/>
      <c r="C8" s="47" t="n"/>
      <c r="D8" s="47" t="n"/>
      <c r="E8" s="47" t="n"/>
      <c r="F8" s="47" t="n"/>
      <c r="G8" s="47" t="n"/>
      <c r="H8" s="47">
        <f>G8*D8</f>
        <v/>
      </c>
      <c r="I8" s="47" t="n"/>
      <c r="J8" s="47" t="n"/>
      <c r="K8" s="48" t="n"/>
      <c r="L8" s="48" t="n"/>
      <c r="M8" s="48" t="n"/>
      <c r="N8" s="10">
        <f>G8*2400+K8+L8+M8</f>
        <v/>
      </c>
      <c r="O8" s="10">
        <f>(K8+M8)/G8</f>
        <v/>
      </c>
      <c r="P8" s="10">
        <f>L8/G8</f>
        <v/>
      </c>
      <c r="Q8" s="10">
        <f>N8*D8/1000</f>
        <v/>
      </c>
      <c r="R8" s="11">
        <f>K8*D8/1000</f>
        <v/>
      </c>
      <c r="S8" s="11">
        <f>L8*D8/1000</f>
        <v/>
      </c>
    </row>
    <row r="9" ht="46.5" customHeight="1">
      <c r="A9" s="47" t="n"/>
      <c r="B9" s="47" t="n"/>
      <c r="C9" s="47" t="n"/>
      <c r="D9" s="47" t="n"/>
      <c r="E9" s="47" t="n"/>
      <c r="F9" s="47" t="n"/>
      <c r="G9" s="47" t="n"/>
      <c r="H9" s="47">
        <f>G9*D9</f>
        <v/>
      </c>
      <c r="I9" s="47" t="n"/>
      <c r="J9" s="47" t="n"/>
      <c r="K9" s="48" t="n"/>
      <c r="L9" s="48" t="n"/>
      <c r="M9" s="48" t="n"/>
      <c r="N9" s="10">
        <f>G9*2400+K9+L9+M9</f>
        <v/>
      </c>
      <c r="O9" s="10">
        <f>(K9+M9)/G9</f>
        <v/>
      </c>
      <c r="P9" s="10">
        <f>L9/G9</f>
        <v/>
      </c>
      <c r="Q9" s="10">
        <f>N9*D9/1000</f>
        <v/>
      </c>
      <c r="R9" s="11">
        <f>K9*D9/1000</f>
        <v/>
      </c>
      <c r="S9" s="11">
        <f>L9*D9/1000</f>
        <v/>
      </c>
    </row>
    <row r="10" ht="46.5" customHeight="1">
      <c r="A10" s="47" t="n"/>
      <c r="B10" s="47" t="n"/>
      <c r="C10" s="47" t="n"/>
      <c r="D10" s="47" t="n"/>
      <c r="E10" s="47" t="n"/>
      <c r="F10" s="47" t="n"/>
      <c r="G10" s="47" t="n"/>
      <c r="H10" s="47">
        <f>G10*D10</f>
        <v/>
      </c>
      <c r="I10" s="47" t="n"/>
      <c r="J10" s="47" t="n"/>
      <c r="K10" s="48" t="n"/>
      <c r="L10" s="48" t="n"/>
      <c r="M10" s="48" t="n"/>
      <c r="N10" s="10">
        <f>G10*2400+K10+L10+M10</f>
        <v/>
      </c>
      <c r="O10" s="10">
        <f>(K10+M10)/G10</f>
        <v/>
      </c>
      <c r="P10" s="10">
        <f>L10/G10</f>
        <v/>
      </c>
      <c r="Q10" s="10">
        <f>N10*D10/1000</f>
        <v/>
      </c>
      <c r="R10" s="11">
        <f>K10*D10/1000</f>
        <v/>
      </c>
      <c r="S10" s="11">
        <f>L10*D10/1000</f>
        <v/>
      </c>
    </row>
    <row r="11" ht="46.5" customHeight="1">
      <c r="A11" s="47" t="n"/>
      <c r="B11" s="47" t="n"/>
      <c r="C11" s="47" t="n"/>
      <c r="D11" s="47" t="n"/>
      <c r="E11" s="47" t="n"/>
      <c r="F11" s="47" t="n"/>
      <c r="G11" s="47" t="n"/>
      <c r="H11" s="47">
        <f>G11*D11</f>
        <v/>
      </c>
      <c r="I11" s="47" t="n"/>
      <c r="J11" s="47" t="n"/>
      <c r="K11" s="48" t="n"/>
      <c r="L11" s="48" t="n"/>
      <c r="M11" s="48" t="n"/>
      <c r="N11" s="10">
        <f>G11*2400+K11+L11+M11</f>
        <v/>
      </c>
      <c r="O11" s="10">
        <f>(K11+M11)/G11</f>
        <v/>
      </c>
      <c r="P11" s="10">
        <f>L11/G11</f>
        <v/>
      </c>
      <c r="Q11" s="10">
        <f>N11*D11/1000</f>
        <v/>
      </c>
      <c r="R11" s="11">
        <f>K11*D11/1000</f>
        <v/>
      </c>
      <c r="S11" s="11">
        <f>L11*D11/1000</f>
        <v/>
      </c>
    </row>
    <row r="12" ht="77.25" customHeight="1">
      <c r="A12" s="61" t="inlineStr">
        <is>
          <t>SOMA</t>
        </is>
      </c>
      <c r="B12" s="62" t="n"/>
      <c r="C12" s="63" t="n"/>
      <c r="D12" s="34">
        <f>SUM(D4:D11)</f>
        <v/>
      </c>
      <c r="F12" s="34">
        <f>SUM(F4:F11)</f>
        <v/>
      </c>
      <c r="G12" s="34">
        <f>SUM(G4:G11)</f>
        <v/>
      </c>
      <c r="H12" s="34">
        <f>SUM(H4:H11)</f>
        <v/>
      </c>
      <c r="K12" s="34">
        <f>SUM(K4:K11)</f>
        <v/>
      </c>
      <c r="L12" s="34">
        <f>SUM(L4:L11)</f>
        <v/>
      </c>
      <c r="M12" s="34">
        <f>SUM(M4:M11)</f>
        <v/>
      </c>
      <c r="N12" s="34">
        <f>SUM(N4:N11)</f>
        <v/>
      </c>
      <c r="O12" s="10">
        <f>(K12+M12)/G12</f>
        <v/>
      </c>
      <c r="P12" s="10">
        <f>L12/G12</f>
        <v/>
      </c>
      <c r="Q12" s="34">
        <f>SUM(Q4:Q11)</f>
        <v/>
      </c>
      <c r="R12" s="34">
        <f>SUM(R4:R11)</f>
        <v/>
      </c>
      <c r="S12" s="34">
        <f>SUM(S4:S11)</f>
        <v/>
      </c>
    </row>
  </sheetData>
  <autoFilter ref="A3:S3">
    <sortState ref="A3:S4">
      <sortCondition ref="O3"/>
    </sortState>
  </autoFilter>
  <mergeCells count="1">
    <mergeCell ref="A12:C12"/>
  </mergeCells>
  <pageMargins left="0.511811024" right="0.511811024" top="0.787401575" bottom="0.787401575" header="0.31496062" footer="0.31496062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Ana Luiza Campos</dc:creator>
  <dcterms:created xsi:type="dcterms:W3CDTF">2018-03-13T20:09:21Z</dcterms:created>
  <dcterms:modified xsi:type="dcterms:W3CDTF">2026-04-10T14:46:04Z</dcterms:modified>
  <cp:lastModifiedBy>Pedro William Ribeiro Diniz</cp:lastModifiedBy>
  <cp:lastPrinted>2025-07-11T17:29:51Z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0x010100EA136828B3F0804EBE409DA2F929E8BA</vt:lpwstr>
  </property>
  <property name="MediaServiceImageTags" fmtid="{D5CDD505-2E9C-101B-9397-08002B2CF9AE}" pid="3">
    <vt:lpwstr/>
  </property>
</Properties>
</file>